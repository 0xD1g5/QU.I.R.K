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80" yWindow="600" windowWidth="24120" windowHeight="15680" tabRatio="500" firstSheet="0" activeTab="1" autoFilterDateGrouping="1"/>
  </bookViews>
  <sheets>
    <sheet name="UAT Cover" sheetId="1" state="visible" r:id="rId1"/>
    <sheet name="Test Cases" sheetId="2" state="visible" r:id="rId2"/>
    <sheet name="Defect Log" sheetId="3" state="visible" r:id="rId3"/>
    <sheet name="Summary" sheetId="4" state="visible" r:id="rId4"/>
    <sheet name="Instructions" sheetId="5" state="visible" r:id="rId5"/>
  </sheets>
  <definedNames>
    <definedName name="_xlnm._FilterDatabase" localSheetId="1" hidden="1">'Test Cases'!$A$3:$O$146</definedName>
  </definedNames>
  <calcPr calcId="191029" fullCalcOnLoad="1" iterateDelta="0.0001"/>
</workbook>
</file>

<file path=xl/styles.xml><?xml version="1.0" encoding="utf-8"?>
<styleSheet xmlns="http://schemas.openxmlformats.org/spreadsheetml/2006/main">
  <numFmts count="1">
    <numFmt numFmtId="164" formatCode="0.0%"/>
  </numFmts>
  <fonts count="19">
    <font>
      <name val="Calibri"/>
      <charset val="1"/>
      <family val="2"/>
      <color theme="1"/>
      <sz val="11"/>
    </font>
    <font>
      <name val="Arial"/>
      <family val="2"/>
      <b val="1"/>
      <color rgb="FFFFFFFF"/>
      <sz val="18"/>
    </font>
    <font>
      <name val="Arial"/>
      <family val="2"/>
      <i val="1"/>
      <color rgb="FFD6F0EE"/>
      <sz val="10"/>
    </font>
    <font>
      <name val="Arial"/>
      <family val="2"/>
      <b val="1"/>
      <color rgb="FFFFFFFF"/>
      <sz val="10"/>
    </font>
    <font>
      <name val="Arial"/>
      <family val="2"/>
      <i val="1"/>
      <color rgb="FF555555"/>
      <sz val="10"/>
    </font>
    <font>
      <name val="Arial"/>
      <family val="2"/>
      <b val="1"/>
      <color rgb="FFFFFFFF"/>
      <sz val="11"/>
    </font>
    <font>
      <name val="Arial"/>
      <family val="2"/>
      <i val="1"/>
      <color rgb="FF999999"/>
      <sz val="10"/>
    </font>
    <font>
      <name val="Arial"/>
      <family val="2"/>
      <color rgb="FF000000"/>
      <sz val="10"/>
    </font>
    <font>
      <name val="Arial"/>
      <family val="2"/>
      <b val="1"/>
      <color rgb="FFFFFFFF"/>
      <sz val="14"/>
    </font>
    <font>
      <name val="Arial"/>
      <family val="2"/>
      <color rgb="FF000000"/>
      <sz val="9"/>
    </font>
    <font>
      <name val="Arial"/>
      <family val="2"/>
      <b val="1"/>
      <color rgb="FF333333"/>
      <sz val="10"/>
    </font>
    <font>
      <name val="Arial"/>
      <family val="2"/>
      <b val="1"/>
      <color rgb="FF000000"/>
      <sz val="13"/>
    </font>
    <font>
      <name val="Arial"/>
      <family val="2"/>
      <b val="1"/>
      <color rgb="FF1A7A4A"/>
      <sz val="13"/>
    </font>
    <font>
      <name val="Arial"/>
      <family val="2"/>
      <b val="1"/>
      <color rgb="FFC0392B"/>
      <sz val="13"/>
    </font>
    <font>
      <name val="Arial"/>
      <family val="2"/>
      <b val="1"/>
      <color rgb="FF7D6608"/>
      <sz val="13"/>
    </font>
    <font>
      <name val="Arial"/>
      <family val="2"/>
      <b val="1"/>
      <color rgb="FF444444"/>
      <sz val="13"/>
    </font>
    <font>
      <name val="Arial"/>
      <family val="2"/>
      <b val="1"/>
      <color rgb="FF048A81"/>
      <sz val="13"/>
    </font>
    <font>
      <name val="Arial"/>
      <family val="2"/>
      <color rgb="FF222222"/>
      <sz val="10"/>
    </font>
    <font>
      <name val="Arial"/>
      <family val="2"/>
      <color rgb="FF000000"/>
      <sz val="9"/>
    </font>
  </fonts>
  <fills count="16">
    <fill>
      <patternFill/>
    </fill>
    <fill>
      <patternFill patternType="gray125"/>
    </fill>
    <fill>
      <patternFill patternType="solid">
        <fgColor rgb="FF1F2D3D"/>
        <bgColor rgb="FF333333"/>
      </patternFill>
    </fill>
    <fill>
      <patternFill patternType="solid">
        <fgColor rgb="FF3A6186"/>
        <bgColor rgb="FF555555"/>
      </patternFill>
    </fill>
    <fill>
      <patternFill patternType="solid">
        <fgColor rgb="FFEAF0F6"/>
        <bgColor rgb="FFF4F8FB"/>
      </patternFill>
    </fill>
    <fill>
      <patternFill patternType="solid">
        <fgColor rgb="FF048A81"/>
        <bgColor rgb="FF1A7A4A"/>
      </patternFill>
    </fill>
    <fill>
      <patternFill patternType="solid">
        <fgColor rgb="FFFFFFFF"/>
        <bgColor rgb="FFF4F8FB"/>
      </patternFill>
    </fill>
    <fill>
      <patternFill patternType="solid">
        <fgColor rgb="FF2E4057"/>
        <bgColor rgb="FF444444"/>
      </patternFill>
    </fill>
    <fill>
      <patternFill patternType="solid">
        <fgColor rgb="FFF4F8FB"/>
        <bgColor rgb="FFFFFFFF"/>
      </patternFill>
    </fill>
    <fill>
      <patternFill patternType="solid">
        <fgColor rgb="FFD4EDDA"/>
        <bgColor rgb="FFD6F0EE"/>
      </patternFill>
    </fill>
    <fill>
      <patternFill patternType="solid">
        <fgColor rgb="FFF8D7DA"/>
        <bgColor rgb="FFE2E3E5"/>
      </patternFill>
    </fill>
    <fill>
      <patternFill patternType="solid">
        <fgColor rgb="FFFFF3CD"/>
        <bgColor rgb="FFF4F8FB"/>
      </patternFill>
    </fill>
    <fill>
      <patternFill patternType="solid">
        <fgColor rgb="FFE2E3E5"/>
        <bgColor rgb="FFD4EDDA"/>
      </patternFill>
    </fill>
    <fill>
      <patternFill patternType="solid">
        <fgColor rgb="FFD6F0EE"/>
        <bgColor rgb="FFD4EDDA"/>
      </patternFill>
    </fill>
    <fill>
      <patternFill patternType="solid">
        <fgColor rgb="FFFFFFFF"/>
        <bgColor rgb="FFFFFFFF"/>
      </patternFill>
    </fill>
    <fill>
      <patternFill patternType="solid">
        <fgColor rgb="FFF8F9FA"/>
        <bgColor rgb="FFF8F9FA"/>
      </patternFill>
    </fill>
  </fills>
  <borders count="6">
    <border>
      <left/>
      <right/>
      <top/>
      <bottom/>
      <diagonal/>
    </border>
    <border>
      <left style="thin">
        <color rgb="FFB0C4D8"/>
      </left>
      <right style="thin">
        <color rgb="FFB0C4D8"/>
      </right>
      <top style="thin">
        <color rgb="FFB0C4D8"/>
      </top>
      <bottom style="thin">
        <color rgb="FFB0C4D8"/>
      </bottom>
      <diagonal/>
    </border>
    <border>
      <left style="thin">
        <color rgb="FFB0C4D8"/>
      </left>
      <right/>
      <top style="thin">
        <color rgb="FFB0C4D8"/>
      </top>
      <bottom style="thin">
        <color rgb="FFB0C4D8"/>
      </bottom>
      <diagonal/>
    </border>
    <border>
      <left/>
      <right/>
      <top/>
      <bottom style="thin">
        <color rgb="FFB0C4D8"/>
      </bottom>
      <diagonal/>
    </border>
    <border>
      <left/>
      <right/>
      <top style="thin">
        <color rgb="FFB0C4D8"/>
      </top>
      <bottom style="thin">
        <color rgb="FFB0C4D8"/>
      </bottom>
      <diagonal/>
    </border>
    <border>
      <left/>
      <right/>
      <top style="thin">
        <color rgb="FFB0C4D8"/>
      </top>
      <bottom/>
      <diagonal/>
    </border>
  </borders>
  <cellStyleXfs count="1">
    <xf numFmtId="0" fontId="0" fillId="0" borderId="0"/>
  </cellStyleXfs>
  <cellXfs count="45">
    <xf numFmtId="0" fontId="0" fillId="0" borderId="0" pivotButton="0" quotePrefix="0" xfId="0"/>
    <xf numFmtId="0" fontId="0" fillId="2" borderId="0" pivotButton="0" quotePrefix="0" xfId="0"/>
    <xf numFmtId="0" fontId="3" fillId="3" borderId="1" applyAlignment="1" pivotButton="0" quotePrefix="0" xfId="0">
      <alignment horizontal="left" vertical="center"/>
    </xf>
    <xf numFmtId="0" fontId="3" fillId="7" borderId="1" applyAlignment="1" pivotButton="0" quotePrefix="0" xfId="0">
      <alignment horizontal="center" vertical="center"/>
    </xf>
    <xf numFmtId="0" fontId="7" fillId="4" borderId="1" applyAlignment="1" pivotButton="0" quotePrefix="0" xfId="0">
      <alignment horizontal="left" vertical="center"/>
    </xf>
    <xf numFmtId="0" fontId="0" fillId="6" borderId="1" pivotButton="0" quotePrefix="0" xfId="0"/>
    <xf numFmtId="0" fontId="3" fillId="7" borderId="1" applyAlignment="1" pivotButton="0" quotePrefix="0" xfId="0">
      <alignment horizontal="center" vertical="center" wrapText="1"/>
    </xf>
    <xf numFmtId="0" fontId="0" fillId="8" borderId="1" applyAlignment="1" pivotButton="0" quotePrefix="0" xfId="0">
      <alignment horizontal="left" vertical="top" wrapText="1"/>
    </xf>
    <xf numFmtId="0" fontId="0" fillId="6" borderId="1" applyAlignment="1" pivotButton="0" quotePrefix="0" xfId="0">
      <alignment horizontal="left" vertical="top" wrapText="1"/>
    </xf>
    <xf numFmtId="0" fontId="9" fillId="14" borderId="1" applyAlignment="1" pivotButton="0" quotePrefix="0" xfId="0">
      <alignment horizontal="center" vertical="top"/>
    </xf>
    <xf numFmtId="0" fontId="9" fillId="14" borderId="1" applyAlignment="1" pivotButton="0" quotePrefix="0" xfId="0">
      <alignment vertical="top" wrapText="1"/>
    </xf>
    <xf numFmtId="0" fontId="9" fillId="15" borderId="1" applyAlignment="1" pivotButton="0" quotePrefix="0" xfId="0">
      <alignment horizontal="center" vertical="top"/>
    </xf>
    <xf numFmtId="0" fontId="9" fillId="15" borderId="1" applyAlignment="1" pivotButton="0" quotePrefix="0" xfId="0">
      <alignment vertical="top" wrapText="1"/>
    </xf>
    <xf numFmtId="0" fontId="0" fillId="15" borderId="1" applyAlignment="1" pivotButton="0" quotePrefix="0" xfId="0">
      <alignment horizontal="center" vertical="top"/>
    </xf>
    <xf numFmtId="0" fontId="0" fillId="15" borderId="1" applyAlignment="1" pivotButton="0" quotePrefix="0" xfId="0">
      <alignment vertical="top" wrapText="1"/>
    </xf>
    <xf numFmtId="0" fontId="0" fillId="14" borderId="1" applyAlignment="1" pivotButton="0" quotePrefix="0" xfId="0">
      <alignment horizontal="center" vertical="top"/>
    </xf>
    <xf numFmtId="0" fontId="0" fillId="14" borderId="1" applyAlignment="1" pivotButton="0" quotePrefix="0" xfId="0">
      <alignment vertical="top" wrapText="1"/>
    </xf>
    <xf numFmtId="0" fontId="0" fillId="15" borderId="0" applyAlignment="1" pivotButton="0" quotePrefix="0" xfId="0">
      <alignment horizontal="center" vertical="top"/>
    </xf>
    <xf numFmtId="0" fontId="0" fillId="15" borderId="0" applyAlignment="1" pivotButton="0" quotePrefix="0" xfId="0">
      <alignment vertical="top" wrapText="1"/>
    </xf>
    <xf numFmtId="0" fontId="0" fillId="14" borderId="0" applyAlignment="1" pivotButton="0" quotePrefix="0" xfId="0">
      <alignment horizontal="center" vertical="top"/>
    </xf>
    <xf numFmtId="0" fontId="0" fillId="14" borderId="0" applyAlignment="1" pivotButton="0" quotePrefix="0" xfId="0">
      <alignment vertical="top" wrapText="1"/>
    </xf>
    <xf numFmtId="0" fontId="18" fillId="14" borderId="1" applyAlignment="1" pivotButton="0" quotePrefix="0" xfId="0">
      <alignment vertical="top" wrapText="1"/>
    </xf>
    <xf numFmtId="14" fontId="9" fillId="14" borderId="1" applyAlignment="1" pivotButton="0" quotePrefix="0" xfId="0">
      <alignment horizontal="center" vertical="top"/>
    </xf>
    <xf numFmtId="0" fontId="18" fillId="14" borderId="1" applyAlignment="1" pivotButton="0" quotePrefix="0" xfId="0">
      <alignment horizontal="center" vertical="top"/>
    </xf>
    <xf numFmtId="0" fontId="8" fillId="2" borderId="0" applyAlignment="1" pivotButton="0" quotePrefix="0" xfId="0">
      <alignment horizontal="left" vertical="center"/>
    </xf>
    <xf numFmtId="0" fontId="0" fillId="0" borderId="0" pivotButton="0" quotePrefix="0" xfId="0"/>
    <xf numFmtId="0" fontId="1" fillId="2" borderId="0" applyAlignment="1" pivotButton="0" quotePrefix="0" xfId="0">
      <alignment horizontal="center" vertical="center"/>
    </xf>
    <xf numFmtId="0" fontId="5" fillId="5" borderId="0" applyAlignment="1" pivotButton="0" quotePrefix="0" xfId="0">
      <alignment horizontal="left" vertical="center"/>
    </xf>
    <xf numFmtId="0" fontId="4" fillId="4" borderId="2" applyAlignment="1" pivotButton="0" quotePrefix="0" xfId="0">
      <alignment horizontal="left" vertical="center"/>
    </xf>
    <xf numFmtId="0" fontId="0" fillId="0" borderId="4" pivotButton="0" quotePrefix="0" xfId="0"/>
    <xf numFmtId="0" fontId="3" fillId="3" borderId="2" applyAlignment="1" pivotButton="0" quotePrefix="0" xfId="0">
      <alignment horizontal="left" vertical="center"/>
    </xf>
    <xf numFmtId="0" fontId="6" fillId="4" borderId="2" applyAlignment="1" pivotButton="0" quotePrefix="0" xfId="0">
      <alignment horizontal="left" vertical="top" wrapText="1"/>
    </xf>
    <xf numFmtId="0" fontId="0" fillId="6" borderId="2" applyAlignment="1" pivotButton="0" quotePrefix="0" xfId="0">
      <alignment horizontal="left" vertical="top" wrapText="1"/>
    </xf>
    <xf numFmtId="0" fontId="2" fillId="2" borderId="0" applyAlignment="1" pivotButton="0" quotePrefix="0" xfId="0">
      <alignment horizontal="center" vertical="center"/>
    </xf>
    <xf numFmtId="0" fontId="10" fillId="4" borderId="2" applyAlignment="1" pivotButton="0" quotePrefix="0" xfId="0">
      <alignment horizontal="left" vertical="center"/>
    </xf>
    <xf numFmtId="0" fontId="15" fillId="12" borderId="2" applyAlignment="1" pivotButton="0" quotePrefix="0" xfId="0">
      <alignment horizontal="center" vertical="center"/>
    </xf>
    <xf numFmtId="0" fontId="13" fillId="10" borderId="2" applyAlignment="1" pivotButton="0" quotePrefix="0" xfId="0">
      <alignment horizontal="center" vertical="center"/>
    </xf>
    <xf numFmtId="0" fontId="14" fillId="11" borderId="2" applyAlignment="1" pivotButton="0" quotePrefix="0" xfId="0">
      <alignment horizontal="center" vertical="center"/>
    </xf>
    <xf numFmtId="0" fontId="11" fillId="4" borderId="2" applyAlignment="1" pivotButton="0" quotePrefix="0" xfId="0">
      <alignment horizontal="center" vertical="center"/>
    </xf>
    <xf numFmtId="164" fontId="16" fillId="13" borderId="2" applyAlignment="1" pivotButton="0" quotePrefix="0" xfId="0">
      <alignment horizontal="center" vertical="center"/>
    </xf>
    <xf numFmtId="0" fontId="12" fillId="9" borderId="2" applyAlignment="1" pivotButton="0" quotePrefix="0" xfId="0">
      <alignment horizontal="center" vertical="center"/>
    </xf>
    <xf numFmtId="0" fontId="17" fillId="8" borderId="3" applyAlignment="1" pivotButton="0" quotePrefix="0" xfId="0">
      <alignment horizontal="left" vertical="center" wrapText="1"/>
    </xf>
    <xf numFmtId="0" fontId="0" fillId="0" borderId="3" pivotButton="0" quotePrefix="0" xfId="0"/>
    <xf numFmtId="0" fontId="5" fillId="3" borderId="0" applyAlignment="1" pivotButton="0" quotePrefix="0" xfId="0">
      <alignment horizontal="left" vertical="center"/>
    </xf>
    <xf numFmtId="0" fontId="17" fillId="6" borderId="3"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D6608"/>
      <rgbColor rgb="FF800080"/>
      <rgbColor rgb="FF048A81"/>
      <rgbColor rgb="FFB0C4D8"/>
      <rgbColor rgb="FF7F8C8D"/>
      <rgbColor rgb="FF9999FF"/>
      <rgbColor rgb="FF555555"/>
      <rgbColor rgb="FFFFF3CD"/>
      <rgbColor rgb="FFD6F0EE"/>
      <rgbColor rgb="FF660066"/>
      <rgbColor rgb="FFFF8080"/>
      <rgbColor rgb="FF0066CC"/>
      <rgbColor rgb="FFE2E3E5"/>
      <rgbColor rgb="FF000080"/>
      <rgbColor rgb="FFFF00FF"/>
      <rgbColor rgb="FFFFFF00"/>
      <rgbColor rgb="FF00FFFF"/>
      <rgbColor rgb="FF800080"/>
      <rgbColor rgb="FF800000"/>
      <rgbColor rgb="FF1A7A4A"/>
      <rgbColor rgb="FF0000FF"/>
      <rgbColor rgb="FF00CCFF"/>
      <rgbColor rgb="FFEAF0F6"/>
      <rgbColor rgb="FFD4EDDA"/>
      <rgbColor rgb="FFF4F8FB"/>
      <rgbColor rgb="FF99CCFF"/>
      <rgbColor rgb="FFFF99CC"/>
      <rgbColor rgb="FFCC99FF"/>
      <rgbColor rgb="FFF8D7DA"/>
      <rgbColor rgb="FF3366FF"/>
      <rgbColor rgb="FF33CCCC"/>
      <rgbColor rgb="FF99CC00"/>
      <rgbColor rgb="FFFFCC00"/>
      <rgbColor rgb="FFFF9900"/>
      <rgbColor rgb="FFFF6600"/>
      <rgbColor rgb="FF3A6186"/>
      <rgbColor rgb="FF999999"/>
      <rgbColor rgb="FF1F2D3D"/>
      <rgbColor rgb="FF339966"/>
      <rgbColor rgb="FF444444"/>
      <rgbColor rgb="FF222222"/>
      <rgbColor rgb="FFC0392B"/>
      <rgbColor rgb="FF993366"/>
      <rgbColor rgb="FF2E4057"/>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2D3D"/>
    <outlinePr summaryBelow="1" summaryRight="1"/>
    <pageSetUpPr/>
  </sheetPr>
  <dimension ref="A1:H32"/>
  <sheetViews>
    <sheetView showGridLines="0" zoomScaleNormal="100" workbookViewId="0">
      <selection activeCell="A1" sqref="A1"/>
    </sheetView>
  </sheetViews>
  <sheetFormatPr baseColWidth="10" defaultColWidth="8.6640625" defaultRowHeight="15"/>
  <cols>
    <col width="26" customWidth="1" style="25" min="1" max="1"/>
    <col width="22" customWidth="1" style="25" min="2" max="8"/>
  </cols>
  <sheetData>
    <row r="1" ht="7.5" customHeight="1" s="25">
      <c r="A1" s="1" t="n"/>
      <c r="B1" s="1" t="n"/>
      <c r="C1" s="1" t="n"/>
      <c r="D1" s="1" t="n"/>
      <c r="E1" s="1" t="n"/>
      <c r="F1" s="1" t="n"/>
      <c r="G1" s="1" t="n"/>
      <c r="H1" s="1" t="n"/>
    </row>
    <row r="2" ht="42" customHeight="1" s="25">
      <c r="A2" s="26" t="inlineStr">
        <is>
          <t>USER ACCEPTANCE TEST — MASTER TEMPLATE</t>
        </is>
      </c>
    </row>
    <row r="3" ht="21.75" customHeight="1" s="25">
      <c r="A3" s="33" t="inlineStr">
        <is>
          <t>Complete all fields before UAT begins. This document serves as the formal acceptance record.</t>
        </is>
      </c>
    </row>
    <row r="4" ht="12" customHeight="1" s="25"/>
    <row r="5" ht="24" customHeight="1" s="25">
      <c r="A5" s="2" t="inlineStr">
        <is>
          <t>Project / System Name</t>
        </is>
      </c>
      <c r="B5" s="28" t="inlineStr">
        <is>
          <t>QU.I.R.K. — Quantum Infrastructure Readiness Kit</t>
        </is>
      </c>
      <c r="C5" s="29" t="n"/>
      <c r="D5" s="29" t="n"/>
    </row>
    <row r="6" ht="24" customHeight="1" s="25">
      <c r="A6" s="2" t="inlineStr">
        <is>
          <t>Release / Version</t>
        </is>
      </c>
      <c r="B6" s="28" t="inlineStr">
        <is>
          <t>v4.2.0</t>
        </is>
      </c>
      <c r="C6" s="29" t="n"/>
      <c r="D6" s="29" t="n"/>
    </row>
    <row r="7" ht="24" customHeight="1" s="25">
      <c r="A7" s="2" t="inlineStr">
        <is>
          <t>UAT Owner</t>
        </is>
      </c>
      <c r="B7" s="28" t="inlineStr">
        <is>
          <t>&lt; Name, Title &gt;</t>
        </is>
      </c>
      <c r="C7" s="29" t="n"/>
      <c r="D7" s="29" t="n"/>
    </row>
    <row r="8" ht="24" customHeight="1" s="25">
      <c r="A8" s="2" t="inlineStr">
        <is>
          <t>Business Sponsor</t>
        </is>
      </c>
      <c r="B8" s="28" t="inlineStr">
        <is>
          <t>&lt; Name, Title &gt;</t>
        </is>
      </c>
      <c r="C8" s="29" t="n"/>
      <c r="D8" s="29" t="n"/>
    </row>
    <row r="9" ht="24" customHeight="1" s="25">
      <c r="A9" s="2" t="inlineStr">
        <is>
          <t>Test Lead</t>
        </is>
      </c>
      <c r="B9" s="28" t="inlineStr">
        <is>
          <t>&lt; Name, Title &gt;</t>
        </is>
      </c>
      <c r="C9" s="29" t="n"/>
      <c r="D9" s="29" t="n"/>
    </row>
    <row r="10" ht="24" customHeight="1" s="25">
      <c r="A10" s="2" t="inlineStr">
        <is>
          <t>QA / Dev Contact</t>
        </is>
      </c>
      <c r="B10" s="28" t="inlineStr">
        <is>
          <t>&lt; Name, Title &gt;</t>
        </is>
      </c>
      <c r="C10" s="29" t="n"/>
      <c r="D10" s="29" t="n"/>
    </row>
    <row r="11" ht="24" customHeight="1" s="25">
      <c r="A11" s="2" t="inlineStr">
        <is>
          <t>UAT Start Date</t>
        </is>
      </c>
      <c r="B11" s="28" t="inlineStr">
        <is>
          <t>&lt; MM/DD/YYYY &gt;</t>
        </is>
      </c>
      <c r="C11" s="29" t="n"/>
      <c r="D11" s="29" t="n"/>
    </row>
    <row r="12" ht="24" customHeight="1" s="25">
      <c r="A12" s="2" t="inlineStr">
        <is>
          <t>UAT End Date</t>
        </is>
      </c>
      <c r="B12" s="28" t="inlineStr">
        <is>
          <t>&lt; MM/DD/YYYY &gt;</t>
        </is>
      </c>
      <c r="C12" s="29" t="n"/>
      <c r="D12" s="29" t="n"/>
    </row>
    <row r="13" ht="24" customHeight="1" s="25">
      <c r="A13" s="2" t="inlineStr">
        <is>
          <t>Environment</t>
        </is>
      </c>
      <c r="B13" s="28" t="inlineStr">
        <is>
          <t>&lt; UAT / Staging / Pre-Prod &gt;</t>
        </is>
      </c>
      <c r="C13" s="29" t="n"/>
      <c r="D13" s="29" t="n"/>
    </row>
    <row r="14" ht="24" customHeight="1" s="25">
      <c r="A14" s="2" t="inlineStr">
        <is>
          <t>Build / Deployment ID</t>
        </is>
      </c>
      <c r="B14" s="28" t="inlineStr">
        <is>
          <t>&lt; e.g., Build-20250401-001 &gt;</t>
        </is>
      </c>
      <c r="C14" s="29" t="n"/>
      <c r="D14" s="29" t="n"/>
    </row>
    <row r="15" ht="24" customHeight="1" s="25">
      <c r="A15" s="2" t="inlineStr">
        <is>
          <t>Sign-off Required By</t>
        </is>
      </c>
      <c r="B15" s="28" t="inlineStr">
        <is>
          <t>&lt; Date &gt;</t>
        </is>
      </c>
      <c r="C15" s="29" t="n"/>
      <c r="D15" s="29" t="n"/>
    </row>
    <row r="17" ht="9.75" customHeight="1" s="25"/>
    <row r="18" ht="25.5" customHeight="1" s="25">
      <c r="A18" s="27" t="inlineStr">
        <is>
          <t>SCOPE</t>
        </is>
      </c>
    </row>
    <row r="19" ht="60" customHeight="1" s="25">
      <c r="A19" s="30" t="inlineStr">
        <is>
          <t>In Scope</t>
        </is>
      </c>
      <c r="B19" s="29" t="n"/>
      <c r="C19" s="32" t="n"/>
      <c r="D19" s="29" t="n"/>
      <c r="E19" s="29" t="n"/>
      <c r="F19" s="29" t="n"/>
      <c r="G19" s="29" t="n"/>
      <c r="H19" s="29" t="n"/>
    </row>
    <row r="20" ht="60" customHeight="1" s="25">
      <c r="A20" s="30" t="inlineStr">
        <is>
          <t>Out of Scope</t>
        </is>
      </c>
      <c r="B20" s="29" t="n"/>
      <c r="C20" s="32" t="n"/>
      <c r="D20" s="29" t="n"/>
      <c r="E20" s="29" t="n"/>
      <c r="F20" s="29" t="n"/>
      <c r="G20" s="29" t="n"/>
      <c r="H20" s="29" t="n"/>
    </row>
    <row r="21" ht="60" customHeight="1" s="25">
      <c r="A21" s="30" t="inlineStr">
        <is>
          <t>Assumptions / Constraints</t>
        </is>
      </c>
      <c r="B21" s="29" t="n"/>
      <c r="C21" s="32" t="n"/>
      <c r="D21" s="29" t="n"/>
      <c r="E21" s="29" t="n"/>
      <c r="F21" s="29" t="n"/>
      <c r="G21" s="29" t="n"/>
      <c r="H21" s="29" t="n"/>
    </row>
    <row r="23" ht="25.5" customHeight="1" s="25">
      <c r="A23" s="27" t="inlineStr">
        <is>
          <t>ENTRY &amp; EXIT CRITERIA</t>
        </is>
      </c>
    </row>
    <row r="24" ht="49.5" customHeight="1" s="25">
      <c r="A24" s="30" t="inlineStr">
        <is>
          <t>Entry Criteria</t>
        </is>
      </c>
      <c r="B24" s="29" t="n"/>
      <c r="C24" s="31" t="inlineStr">
        <is>
          <t>e.g., Dev complete, smoke test passed, test data loaded, env validated</t>
        </is>
      </c>
      <c r="D24" s="29" t="n"/>
      <c r="E24" s="29" t="n"/>
      <c r="F24" s="29" t="n"/>
      <c r="G24" s="29" t="n"/>
      <c r="H24" s="29" t="n"/>
    </row>
    <row r="25" ht="49.5" customHeight="1" s="25">
      <c r="A25" s="30" t="inlineStr">
        <is>
          <t>Exit Criteria</t>
        </is>
      </c>
      <c r="B25" s="29" t="n"/>
      <c r="C25" s="31" t="inlineStr">
        <is>
          <t>e.g., ≥95% pass rate, zero Sev-1 open defects, stakeholder sign-off obtained</t>
        </is>
      </c>
      <c r="D25" s="29" t="n"/>
      <c r="E25" s="29" t="n"/>
      <c r="F25" s="29" t="n"/>
      <c r="G25" s="29" t="n"/>
      <c r="H25" s="29" t="n"/>
    </row>
    <row r="27" ht="25.5" customHeight="1" s="25">
      <c r="A27" s="27" t="inlineStr">
        <is>
          <t>FORMAL SIGN-OFF</t>
        </is>
      </c>
    </row>
    <row r="28" ht="21.75" customHeight="1" s="25">
      <c r="A28" s="3" t="inlineStr">
        <is>
          <t>Role</t>
        </is>
      </c>
      <c r="B28" s="3" t="inlineStr">
        <is>
          <t>Name</t>
        </is>
      </c>
      <c r="C28" s="3" t="inlineStr">
        <is>
          <t>Signature</t>
        </is>
      </c>
      <c r="D28" s="3" t="inlineStr">
        <is>
          <t>Date</t>
        </is>
      </c>
      <c r="E28" s="3" t="inlineStr">
        <is>
          <t>Decision</t>
        </is>
      </c>
    </row>
    <row r="29" ht="21.75" customHeight="1" s="25">
      <c r="A29" s="4" t="inlineStr">
        <is>
          <t>Business Sponsor</t>
        </is>
      </c>
      <c r="B29" s="5" t="n"/>
      <c r="C29" s="5" t="n"/>
      <c r="D29" s="5" t="n"/>
      <c r="E29" s="5" t="n"/>
    </row>
    <row r="30" ht="21.75" customHeight="1" s="25">
      <c r="A30" s="4" t="inlineStr">
        <is>
          <t>UAT Owner / Test Lead</t>
        </is>
      </c>
      <c r="B30" s="5" t="n"/>
      <c r="C30" s="5" t="n"/>
      <c r="D30" s="5" t="n"/>
      <c r="E30" s="5" t="n"/>
    </row>
    <row r="31" ht="21.75" customHeight="1" s="25">
      <c r="A31" s="4" t="inlineStr">
        <is>
          <t>Project Manager</t>
        </is>
      </c>
      <c r="B31" s="5" t="n"/>
      <c r="C31" s="5" t="n"/>
      <c r="D31" s="5" t="n"/>
      <c r="E31" s="5" t="n"/>
    </row>
    <row r="32" ht="21.75" customHeight="1" s="25">
      <c r="A32" s="4" t="inlineStr">
        <is>
          <t>QA / Dev Lead</t>
        </is>
      </c>
      <c r="B32" s="5" t="n"/>
      <c r="C32" s="5" t="n"/>
      <c r="D32" s="5" t="n"/>
      <c r="E32" s="5" t="n"/>
    </row>
  </sheetData>
  <mergeCells count="26">
    <mergeCell ref="B11:D11"/>
    <mergeCell ref="C25:H25"/>
    <mergeCell ref="A24:B24"/>
    <mergeCell ref="B14:D14"/>
    <mergeCell ref="B8:D8"/>
    <mergeCell ref="B13:D13"/>
    <mergeCell ref="C21:H21"/>
    <mergeCell ref="B10:D10"/>
    <mergeCell ref="A25:B25"/>
    <mergeCell ref="B9:D9"/>
    <mergeCell ref="B15:D15"/>
    <mergeCell ref="A27:H27"/>
    <mergeCell ref="B6:D6"/>
    <mergeCell ref="A18:H18"/>
    <mergeCell ref="A3:H3"/>
    <mergeCell ref="B5:D5"/>
    <mergeCell ref="C19:H19"/>
    <mergeCell ref="A21:B21"/>
    <mergeCell ref="A2:H2"/>
    <mergeCell ref="A23:H23"/>
    <mergeCell ref="B7:D7"/>
    <mergeCell ref="A20:B20"/>
    <mergeCell ref="C24:H24"/>
    <mergeCell ref="A19:B19"/>
    <mergeCell ref="C20:H20"/>
    <mergeCell ref="B12:D1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tabColor rgb="FF3A6186"/>
    <outlinePr summaryBelow="1" summaryRight="1"/>
    <pageSetUpPr/>
  </sheetPr>
  <dimension ref="A1:O146"/>
  <sheetViews>
    <sheetView showGridLines="0" tabSelected="1" topLeftCell="E1" zoomScale="170" zoomScaleNormal="170" workbookViewId="0">
      <pane ySplit="3" topLeftCell="A80" activePane="bottomLeft" state="frozen"/>
      <selection pane="bottomLeft" activeCell="F81" sqref="F81"/>
    </sheetView>
  </sheetViews>
  <sheetFormatPr baseColWidth="10" defaultColWidth="8.6640625" defaultRowHeight="15"/>
  <cols>
    <col width="12" customWidth="1" style="25" min="1" max="1"/>
    <col width="10" customWidth="1" style="25" min="2" max="2"/>
    <col width="22" customWidth="1" style="25" min="3" max="3"/>
    <col width="38" customWidth="1" style="25" min="4" max="4"/>
    <col width="40" customWidth="1" style="25" min="5" max="5"/>
    <col width="60" customWidth="1" style="25" min="6" max="6"/>
    <col width="35" customWidth="1" style="25" min="7" max="7"/>
    <col width="50" customWidth="1" style="25" min="8" max="8"/>
    <col width="30" customWidth="1" style="25" min="9" max="9"/>
    <col width="12" customWidth="1" style="25" min="10" max="12"/>
    <col width="15" customWidth="1" style="25" min="13" max="13"/>
    <col width="14" customWidth="1" style="25" min="14" max="14"/>
    <col width="30" customWidth="1" style="25" min="15" max="15"/>
  </cols>
  <sheetData>
    <row r="1" ht="6" customHeight="1" s="25">
      <c r="A1" s="1" t="n"/>
      <c r="B1" s="1" t="n"/>
      <c r="C1" s="1" t="n"/>
      <c r="D1" s="1" t="n"/>
      <c r="E1" s="1" t="n"/>
      <c r="F1" s="1" t="n"/>
      <c r="G1" s="1" t="n"/>
      <c r="H1" s="1" t="n"/>
      <c r="I1" s="1" t="n"/>
      <c r="J1" s="1" t="n"/>
      <c r="K1" s="1" t="n"/>
      <c r="L1" s="1" t="n"/>
      <c r="M1" s="1" t="n"/>
      <c r="N1" s="1" t="n"/>
      <c r="O1" s="1" t="n"/>
    </row>
    <row r="2" ht="31.5" customHeight="1" s="25">
      <c r="A2" s="24" t="inlineStr">
        <is>
          <t>TEST CASES</t>
        </is>
      </c>
    </row>
    <row r="3" ht="20" customHeight="1" s="25">
      <c r="A3" s="6" t="inlineStr">
        <is>
          <t>TC ID</t>
        </is>
      </c>
      <c r="B3" s="6" t="inlineStr">
        <is>
          <t>Req / Story ID</t>
        </is>
      </c>
      <c r="C3" s="6" t="inlineStr">
        <is>
          <t>Test Category</t>
        </is>
      </c>
      <c r="D3" s="6" t="inlineStr">
        <is>
          <t>Test Name</t>
        </is>
      </c>
      <c r="E3" s="6" t="inlineStr">
        <is>
          <t>Preconditions</t>
        </is>
      </c>
      <c r="F3" s="6" t="inlineStr">
        <is>
          <t>Test Steps</t>
        </is>
      </c>
      <c r="G3" s="6" t="inlineStr">
        <is>
          <t>Test Data</t>
        </is>
      </c>
      <c r="H3" s="6" t="inlineStr">
        <is>
          <t>Expected Result</t>
        </is>
      </c>
      <c r="I3" s="6" t="inlineStr">
        <is>
          <t>Actual Result</t>
        </is>
      </c>
      <c r="J3" s="6" t="inlineStr">
        <is>
          <t>Status</t>
        </is>
      </c>
      <c r="K3" s="6" t="inlineStr">
        <is>
          <t>Severity</t>
        </is>
      </c>
      <c r="L3" s="6" t="inlineStr">
        <is>
          <t>Defect ID</t>
        </is>
      </c>
      <c r="M3" s="6" t="inlineStr">
        <is>
          <t>Tester</t>
        </is>
      </c>
      <c r="N3" s="6" t="inlineStr">
        <is>
          <t>Test Date</t>
        </is>
      </c>
      <c r="O3" s="6" t="inlineStr">
        <is>
          <t>Notes</t>
        </is>
      </c>
    </row>
    <row r="4" hidden="1" ht="65" customHeight="1" s="25">
      <c r="A4" s="9" t="inlineStr">
        <is>
          <t>UAT-1-01</t>
        </is>
      </c>
      <c r="B4" s="9" t="inlineStr">
        <is>
          <t>S01</t>
        </is>
      </c>
      <c r="C4" s="10" t="inlineStr">
        <is>
          <t>Installation &amp; Setup</t>
        </is>
      </c>
      <c r="D4" s="10" t="inlineStr">
        <is>
          <t>Package Installation — Clean Install</t>
        </is>
      </c>
      <c r="E4" s="10" t="inlineStr">
        <is>
          <t>Python 3.11+ virtual environment, no QuRisk installed.</t>
        </is>
      </c>
      <c r="F4" s="21" t="inlineStr">
        <is>
          <t>1. Create fresh venv: python -m venv .venv &amp;&amp; source .venv/bin/activate
2. Clone repo: git clone &lt;repo-url&gt; &amp;&amp; cd QuRisk
3. Install with dashboard extras: pip install -e ".[dashboard]"
4. Verify CLI: which quirk
5. Run: quirk --help</t>
        </is>
      </c>
      <c r="G4" s="10" t="inlineStr">
        <is>
          <t>pip install -e ".[dashboard]"</t>
        </is>
      </c>
      <c r="H4" s="10" t="inlineStr">
        <is>
          <t>Help text appears listing all available flags. No import errors. quirk --help exits 0. Output includes --config, --profile, --score-profile, --verbose flags. No ModuleNotFoundError.</t>
        </is>
      </c>
      <c r="I4" s="21" t="inlineStr">
        <is>
          <t>Matches expected result.</t>
        </is>
      </c>
      <c r="J4" s="9" t="inlineStr">
        <is>
          <t>Pass</t>
        </is>
      </c>
      <c r="K4" s="9" t="inlineStr">
        <is>
          <t>Critical</t>
        </is>
      </c>
      <c r="L4" s="9" t="n"/>
      <c r="M4" s="23" t="inlineStr">
        <is>
          <t>Digs</t>
        </is>
      </c>
      <c r="N4" s="22" t="n">
        <v>46124</v>
      </c>
      <c r="O4" s="10" t="n"/>
    </row>
    <row r="5" hidden="1" ht="60" customHeight="1" s="25">
      <c r="A5" s="11" t="inlineStr">
        <is>
          <t>UAT-1-02</t>
        </is>
      </c>
      <c r="B5" s="11" t="inlineStr">
        <is>
          <t>S01</t>
        </is>
      </c>
      <c r="C5" s="12" t="inlineStr">
        <is>
          <t>Installation &amp; Setup</t>
        </is>
      </c>
      <c r="D5" s="12" t="inlineStr">
        <is>
          <t>Version Flag</t>
        </is>
      </c>
      <c r="E5" s="12" t="inlineStr">
        <is>
          <t>QuRisk installed.</t>
        </is>
      </c>
      <c r="F5" s="12" t="inlineStr">
        <is>
          <t>1. Run: quirk --version</t>
        </is>
      </c>
      <c r="G5" s="12" t="n"/>
      <c r="H5" s="12" t="inlineStr">
        <is>
          <t>Version string printed to stdout. Output matches: 'quirk 4.2.0' or 'QU.I.R.K. v4.2.0'. Exit code 0.</t>
        </is>
      </c>
      <c r="I5" s="21" t="inlineStr">
        <is>
          <t>Matches expected result.</t>
        </is>
      </c>
      <c r="J5" s="11" t="inlineStr">
        <is>
          <t>Pass</t>
        </is>
      </c>
      <c r="K5" s="11" t="inlineStr">
        <is>
          <t>Critical</t>
        </is>
      </c>
      <c r="L5" s="11" t="n"/>
      <c r="M5" s="23" t="inlineStr">
        <is>
          <t>Digs</t>
        </is>
      </c>
      <c r="N5" s="22" t="n">
        <v>46125</v>
      </c>
      <c r="O5" s="12" t="n"/>
    </row>
    <row r="6" hidden="1" ht="60" customHeight="1" s="25">
      <c r="A6" s="9" t="inlineStr">
        <is>
          <t>UAT-1-03</t>
        </is>
      </c>
      <c r="B6" s="9" t="inlineStr">
        <is>
          <t>S01</t>
        </is>
      </c>
      <c r="C6" s="10" t="inlineStr">
        <is>
          <t>Installation &amp; Setup</t>
        </is>
      </c>
      <c r="D6" s="10" t="inlineStr">
        <is>
          <t>quirk init — Default Config Generation</t>
        </is>
      </c>
      <c r="E6" s="10" t="inlineStr">
        <is>
          <t>QuRisk installed, empty working directory.</t>
        </is>
      </c>
      <c r="F6" s="10" t="inlineStr">
        <is>
          <t>1. Create temp dir: mkdir /tmp/quirk-test &amp;&amp; cd /tmp/quirk-test
2. Run: quirk init
3. List directory: ls -la
4. Open config: cat config.yaml</t>
        </is>
      </c>
      <c r="G6" s="10" t="inlineStr">
        <is>
          <t>/tmp/quirk-test/config.yaml</t>
        </is>
      </c>
      <c r="H6" s="10" t="inlineStr">
        <is>
          <t>config.yaml created with all required fields. Contains 'targets:' key, commented examples. No error output. Exit code 0.</t>
        </is>
      </c>
      <c r="I6" s="21" t="inlineStr">
        <is>
          <t>Matches expected result.</t>
        </is>
      </c>
      <c r="J6" s="9" t="inlineStr">
        <is>
          <t>Pass</t>
        </is>
      </c>
      <c r="K6" s="9" t="inlineStr">
        <is>
          <t>High</t>
        </is>
      </c>
      <c r="L6" s="9" t="n"/>
      <c r="M6" s="9" t="n"/>
      <c r="N6" s="9" t="n"/>
      <c r="O6" s="10" t="n"/>
    </row>
    <row r="7" hidden="1" ht="60" customHeight="1" s="25">
      <c r="A7" s="13" t="inlineStr">
        <is>
          <t>UAT-1-04</t>
        </is>
      </c>
      <c r="B7" s="13" t="inlineStr">
        <is>
          <t>S01</t>
        </is>
      </c>
      <c r="C7" s="14" t="inlineStr">
        <is>
          <t>Installation &amp; Setup</t>
        </is>
      </c>
      <c r="D7" s="14" t="inlineStr">
        <is>
          <t>quirk init — Config at Custom Path</t>
        </is>
      </c>
      <c r="E7" s="14" t="inlineStr">
        <is>
          <t>QuRisk installed.</t>
        </is>
      </c>
      <c r="F7" s="14" t="inlineStr">
        <is>
          <t>1. Run: quirk init --output /tmp/my-quirk-config.yaml
2. Verify: cat /tmp/my-quirk-config.yaml</t>
        </is>
      </c>
      <c r="G7" s="14" t="inlineStr">
        <is>
          <t>/tmp/my-quirk-config.yaml</t>
        </is>
      </c>
      <c r="H7" s="14" t="inlineStr">
        <is>
          <t>Config written to specified path. File exists, is valid YAML. Exit code 0.</t>
        </is>
      </c>
      <c r="I7" s="21" t="inlineStr">
        <is>
          <t>Matches expected result.</t>
        </is>
      </c>
      <c r="J7" s="9" t="inlineStr">
        <is>
          <t>Pass</t>
        </is>
      </c>
      <c r="K7" s="13" t="inlineStr">
        <is>
          <t>High</t>
        </is>
      </c>
      <c r="L7" s="13" t="n"/>
      <c r="M7" s="13" t="n"/>
      <c r="N7" s="13" t="n"/>
      <c r="O7" s="14" t="n"/>
    </row>
    <row r="8" hidden="1" ht="60" customHeight="1" s="25">
      <c r="A8" s="15" t="inlineStr">
        <is>
          <t>UAT-1-05</t>
        </is>
      </c>
      <c r="B8" s="15" t="inlineStr">
        <is>
          <t>S01</t>
        </is>
      </c>
      <c r="C8" s="16" t="inlineStr">
        <is>
          <t>Installation &amp; Setup</t>
        </is>
      </c>
      <c r="D8" s="16" t="inlineStr">
        <is>
          <t>Dashboard Server Startup</t>
        </is>
      </c>
      <c r="E8" s="16" t="inlineStr">
        <is>
          <t>QuRisk installed with dashboard extras, at least one completed scan. Set QUIRK_DB_PATH=quirk-output/quirk.db if using interactive scan output.</t>
        </is>
      </c>
      <c r="F8" s="16" t="inlineStr">
        <is>
          <t>1. Run: quirk serve --no-open
2. Wait 3 seconds
3. In new terminal: curl -s http://127.0.0.1:8512/api/health</t>
        </is>
      </c>
      <c r="G8" s="16" t="inlineStr">
        <is>
          <t>curl -s http://127.0.0.1:8512/api/health</t>
        </is>
      </c>
      <c r="H8" s="16" t="inlineStr">
        <is>
          <t>Server starts and responds to health check. Health endpoint returns HTTP 200 with {"status":"ok"}. Startup log shows 'Uvicorn running on http://127.0.0.1:8512'.</t>
        </is>
      </c>
      <c r="I8" s="21" t="inlineStr">
        <is>
          <t>Matches expected result.</t>
        </is>
      </c>
      <c r="J8" s="15" t="inlineStr">
        <is>
          <t>Pass</t>
        </is>
      </c>
      <c r="K8" s="15" t="inlineStr">
        <is>
          <t>Critical</t>
        </is>
      </c>
      <c r="L8" s="15" t="n"/>
      <c r="M8" s="15" t="n"/>
      <c r="N8" s="15" t="n"/>
      <c r="O8" s="16" t="n"/>
    </row>
    <row r="9" hidden="1" ht="60" customHeight="1" s="25">
      <c r="A9" s="13" t="inlineStr">
        <is>
          <t>UAT-1-06</t>
        </is>
      </c>
      <c r="B9" s="13" t="inlineStr">
        <is>
          <t>S01</t>
        </is>
      </c>
      <c r="C9" s="14" t="inlineStr">
        <is>
          <t>Installation &amp; Setup</t>
        </is>
      </c>
      <c r="D9" s="14" t="inlineStr">
        <is>
          <t>Dashboard Server — Custom Port</t>
        </is>
      </c>
      <c r="E9" s="14" t="inlineStr">
        <is>
          <t>QuRisk installed with dashboard extras.</t>
        </is>
      </c>
      <c r="F9" s="14" t="inlineStr">
        <is>
          <t>1. Run: quirk serve --port 9000 --no-open
2. Wait 3 seconds
3. curl -s http://127.0.0.1:9000/api/health</t>
        </is>
      </c>
      <c r="G9" s="14" t="inlineStr">
        <is>
          <t>Port: 9000</t>
        </is>
      </c>
      <c r="H9" s="14" t="inlineStr">
        <is>
          <t>Server binds to port 9000. HTTP 200 on port 9000. Exit code 0 for curl.</t>
        </is>
      </c>
      <c r="I9" s="21" t="inlineStr">
        <is>
          <t>Matches expected result.</t>
        </is>
      </c>
      <c r="J9" s="15" t="inlineStr">
        <is>
          <t>Pass</t>
        </is>
      </c>
      <c r="K9" s="13" t="inlineStr">
        <is>
          <t>High</t>
        </is>
      </c>
      <c r="L9" s="13" t="n"/>
      <c r="M9" s="13" t="n"/>
      <c r="N9" s="13" t="n"/>
      <c r="O9" s="14" t="n"/>
    </row>
    <row r="10" ht="60" customHeight="1" s="25">
      <c r="A10" s="13" t="inlineStr">
        <is>
          <t>UAT-7-01</t>
        </is>
      </c>
      <c r="B10" s="13" t="inlineStr">
        <is>
          <t>S07</t>
        </is>
      </c>
      <c r="C10" s="14" t="inlineStr">
        <is>
          <t>Web Dashboard UI</t>
        </is>
      </c>
      <c r="D10" s="14" t="inlineStr">
        <is>
          <t>Dashboard Loads — No Blank Screen</t>
        </is>
      </c>
      <c r="E10" s="14" t="inlineStr">
        <is>
          <t>Completed scan with findings in quirk.db. Dashboard running: quirk serve --no-open. Browser open to http://127.0.0.1:8512</t>
        </is>
      </c>
      <c r="F10" s="14" t="inlineStr">
        <is>
          <t>1. Navigate to http://127.0.0.1:8512
2. Observe page load</t>
        </is>
      </c>
      <c r="G10" s="14" t="inlineStr">
        <is>
          <t>URL: http://127.0.0.1:8512</t>
        </is>
      </c>
      <c r="H10" s="14" t="inlineStr">
        <is>
          <t>Page loads within 5 seconds. QU.I.R.K. wordmark visible in sidebar. No JavaScript console errors. No blank white screen.</t>
        </is>
      </c>
      <c r="I10" s="14" t="inlineStr">
        <is>
          <t>Pass</t>
        </is>
      </c>
      <c r="J10" s="13" t="inlineStr">
        <is>
          <t>Pass</t>
        </is>
      </c>
      <c r="K10" s="13" t="inlineStr">
        <is>
          <t>Critical</t>
        </is>
      </c>
      <c r="L10" s="13" t="n"/>
      <c r="M10" s="13" t="n"/>
      <c r="N10" s="13" t="n"/>
      <c r="O10" s="14" t="n"/>
    </row>
    <row r="11" ht="60" customHeight="1" s="25">
      <c r="A11" s="13" t="inlineStr">
        <is>
          <t>UAT-7-03</t>
        </is>
      </c>
      <c r="B11" s="13" t="inlineStr">
        <is>
          <t>S07</t>
        </is>
      </c>
      <c r="C11" s="14" t="inlineStr">
        <is>
          <t>Web Dashboard UI</t>
        </is>
      </c>
      <c r="D11" s="14" t="inlineStr">
        <is>
          <t>Executive Page — Score Gauge</t>
        </is>
      </c>
      <c r="E11" s="14" t="inlineStr">
        <is>
          <t>Dashboard running with scan data.</t>
        </is>
      </c>
      <c r="F11" s="14" t="inlineStr">
        <is>
          <t>1. Navigate to Executive page (default landing or /executive route)
2. Observe score gauge component</t>
        </is>
      </c>
      <c r="G11" s="14" t="inlineStr">
        <is>
          <t>URL: http://127.0.0.1:8512 or /executive</t>
        </is>
      </c>
      <c r="H11" s="14" t="inlineStr">
        <is>
          <t>Score gauge renders with numeric value 0-100. Score label visible (EXCELLENT/GOOD/MODERATE/FAIR/POOR). Score color-coded (green=good, red=poor). Confidence badge present with value.</t>
        </is>
      </c>
      <c r="I11" s="14" t="inlineStr">
        <is>
          <t>Pass</t>
        </is>
      </c>
      <c r="J11" s="13" t="inlineStr">
        <is>
          <t>Pass</t>
        </is>
      </c>
      <c r="K11" s="13" t="inlineStr">
        <is>
          <t>Critical</t>
        </is>
      </c>
      <c r="L11" s="13" t="n"/>
      <c r="M11" s="13" t="n"/>
      <c r="N11" s="13" t="n"/>
      <c r="O11" s="14" t="n"/>
    </row>
    <row r="12" hidden="1" ht="60" customHeight="1" s="25">
      <c r="A12" s="15" t="inlineStr">
        <is>
          <t>UAT-2-01</t>
        </is>
      </c>
      <c r="B12" s="15" t="inlineStr">
        <is>
          <t>S02</t>
        </is>
      </c>
      <c r="C12" s="16" t="inlineStr">
        <is>
          <t>CLI - Interactive Mode</t>
        </is>
      </c>
      <c r="D12" s="16" t="inlineStr">
        <is>
          <t>Interactive Wizard Launch</t>
        </is>
      </c>
      <c r="E12" s="16" t="inlineStr">
        <is>
          <t>QuRisk installed, no --config flag.</t>
        </is>
      </c>
      <c r="F12" s="16" t="inlineStr">
        <is>
          <t>1. Run: quirk (no arguments)
2. Observe startup banner and prompts</t>
        </is>
      </c>
      <c r="G12" s="16" t="n"/>
      <c r="H12" s="16" t="inlineStr">
        <is>
          <t>Interactive wizard launches. Startup banner displayed. First prompt asks for target hosts/IPs. No crash before first prompt.</t>
        </is>
      </c>
      <c r="I12" s="21" t="inlineStr">
        <is>
          <t>Matches expected result.</t>
        </is>
      </c>
      <c r="J12" s="15" t="inlineStr">
        <is>
          <t>Pass</t>
        </is>
      </c>
      <c r="K12" s="15" t="inlineStr">
        <is>
          <t>High</t>
        </is>
      </c>
      <c r="L12" s="15" t="n"/>
      <c r="M12" s="15" t="n"/>
      <c r="N12" s="15" t="n"/>
      <c r="O12" s="16" t="n"/>
    </row>
    <row r="13" hidden="1" ht="60" customHeight="1" s="25">
      <c r="A13" s="13" t="inlineStr">
        <is>
          <t>UAT-2-02</t>
        </is>
      </c>
      <c r="B13" s="13" t="inlineStr">
        <is>
          <t>S02</t>
        </is>
      </c>
      <c r="C13" s="14" t="inlineStr">
        <is>
          <t>CLI - Interactive Mode</t>
        </is>
      </c>
      <c r="D13" s="14" t="inlineStr">
        <is>
          <t>Interactive Wizard — Single Target</t>
        </is>
      </c>
      <c r="E13" s="14" t="inlineStr">
        <is>
          <t>Lab running with core services (docker compose up -d).</t>
        </is>
      </c>
      <c r="F13" s="14" t="inlineStr">
        <is>
          <t>1. Run: quirk
2. Enter target: 127.0.0.1
3. Accept defaults for all prompts
4. Wait for scan to complete</t>
        </is>
      </c>
      <c r="G13" s="14" t="inlineStr">
        <is>
          <t>Target: 127.0.0.1</t>
        </is>
      </c>
      <c r="H13" s="14" t="inlineStr">
        <is>
          <t>Scan runs against 127.0.0.1. At least one finding generated. quirk-output/findings-*.json created. quirk-output/quirk.db exists and non-empty. Progress shown during scan.</t>
        </is>
      </c>
      <c r="I13" s="21" t="inlineStr">
        <is>
          <t>out_files=[]</t>
        </is>
      </c>
      <c r="J13" s="13" t="inlineStr">
        <is>
          <t>Pass</t>
        </is>
      </c>
      <c r="K13" s="13" t="inlineStr">
        <is>
          <t>High</t>
        </is>
      </c>
      <c r="L13" s="13" t="n">
        <v>4</v>
      </c>
      <c r="M13" s="13" t="inlineStr">
        <is>
          <t>Auto</t>
        </is>
      </c>
      <c r="N13" s="13" t="inlineStr">
        <is>
          <t>2026-04-13</t>
        </is>
      </c>
      <c r="O13" s="14" t="inlineStr">
        <is>
          <t>Scan output observed in stdout</t>
        </is>
      </c>
    </row>
    <row r="14" ht="60" customHeight="1" s="25">
      <c r="A14" s="15" t="inlineStr">
        <is>
          <t>UAT-7-06</t>
        </is>
      </c>
      <c r="B14" s="15" t="inlineStr">
        <is>
          <t>S07</t>
        </is>
      </c>
      <c r="C14" s="16" t="inlineStr">
        <is>
          <t>Web Dashboard UI</t>
        </is>
      </c>
      <c r="D14" s="16" t="inlineStr">
        <is>
          <t>Findings Page — Table Renders</t>
        </is>
      </c>
      <c r="E14" s="16" t="inlineStr">
        <is>
          <t>Dashboard running with scan data.</t>
        </is>
      </c>
      <c r="F14" s="16" t="inlineStr">
        <is>
          <t>1. Navigate to Findings page (sidebar link)
2. Observe findings table</t>
        </is>
      </c>
      <c r="G14" s="16" t="inlineStr">
        <is>
          <t>URL: /findings</t>
        </is>
      </c>
      <c r="H14" s="16" t="inlineStr">
        <is>
          <t>Table renders with rows (not empty). Columns: Severity, Host, Port, Protocol, Finding Title. Row count matches findings-*.json count. Severity badges color-coded correctly.</t>
        </is>
      </c>
      <c r="I14" s="14" t="inlineStr">
        <is>
          <t>Pass</t>
        </is>
      </c>
      <c r="J14" s="13" t="inlineStr">
        <is>
          <t>Pass</t>
        </is>
      </c>
      <c r="K14" s="15" t="inlineStr">
        <is>
          <t>Critical</t>
        </is>
      </c>
      <c r="L14" s="15" t="n"/>
      <c r="M14" s="15" t="n"/>
      <c r="N14" s="15" t="n"/>
      <c r="O14" s="16" t="n"/>
    </row>
    <row r="15" hidden="1" ht="60" customHeight="1" s="25">
      <c r="A15" s="13" t="inlineStr">
        <is>
          <t>UAT-2-04</t>
        </is>
      </c>
      <c r="B15" s="13" t="inlineStr">
        <is>
          <t>S02</t>
        </is>
      </c>
      <c r="C15" s="14" t="inlineStr">
        <is>
          <t>CLI - Interactive Mode</t>
        </is>
      </c>
      <c r="D15" s="14" t="inlineStr">
        <is>
          <t>Interactive Wizard — No Auto-Derivable Prompts</t>
        </is>
      </c>
      <c r="E15" s="14" t="inlineStr">
        <is>
          <t>QuRisk installed.</t>
        </is>
      </c>
      <c r="F15" s="14" t="inlineStr">
        <is>
          <t>1. Run: quirk (no arguments)
2. Step through wizard from start to finish
3. Observe every prompt that appears</t>
        </is>
      </c>
      <c r="G15" s="14" t="n"/>
      <c r="H15" s="14" t="inlineStr">
        <is>
          <t>Wizard never asks for timezone, SNI, ADCS, or TLS ports. No prompt containing 'timezone', 'SNI', 'ADCS', or port selection appears.</t>
        </is>
      </c>
      <c r="I15" s="21" t="inlineStr">
        <is>
          <t>Matches expected result.</t>
        </is>
      </c>
      <c r="J15" s="13" t="inlineStr">
        <is>
          <t>Pass</t>
        </is>
      </c>
      <c r="K15" s="13" t="inlineStr">
        <is>
          <t>High</t>
        </is>
      </c>
      <c r="L15" s="13" t="n"/>
      <c r="M15" s="13" t="n"/>
      <c r="N15" s="13" t="n"/>
      <c r="O15" s="14" t="n"/>
    </row>
    <row r="16" hidden="1" ht="60" customHeight="1" s="25">
      <c r="A16" s="15" t="inlineStr">
        <is>
          <t>UAT-2-05</t>
        </is>
      </c>
      <c r="B16" s="15" t="inlineStr">
        <is>
          <t>S02</t>
        </is>
      </c>
      <c r="C16" s="16" t="inlineStr">
        <is>
          <t>CLI - Interactive Mode</t>
        </is>
      </c>
      <c r="D16" s="16" t="inlineStr">
        <is>
          <t>Interactive Wizard — Targets-First Prompt Order</t>
        </is>
      </c>
      <c r="E16" s="16" t="inlineStr">
        <is>
          <t>QuRisk installed.</t>
        </is>
      </c>
      <c r="F16" s="16" t="inlineStr">
        <is>
          <t>1. Run: quirk
2. Note which category of question appears first</t>
        </is>
      </c>
      <c r="G16" s="16" t="n"/>
      <c r="H16" s="16" t="inlineStr">
        <is>
          <t>First prompt asks for scan targets. Org name/metadata prompts appear after scanner/connector options. No metadata question before at least one target question.</t>
        </is>
      </c>
      <c r="I16" s="21" t="inlineStr">
        <is>
          <t>Matches expected result.</t>
        </is>
      </c>
      <c r="J16" s="15" t="inlineStr">
        <is>
          <t>Pass</t>
        </is>
      </c>
      <c r="K16" s="15" t="inlineStr">
        <is>
          <t>High</t>
        </is>
      </c>
      <c r="L16" s="15" t="n"/>
      <c r="M16" s="15" t="n"/>
      <c r="N16" s="15" t="n"/>
      <c r="O16" s="16" t="n"/>
    </row>
    <row r="17" hidden="1" ht="60" customHeight="1" s="25">
      <c r="A17" s="17" t="inlineStr">
        <is>
          <t>UAT-2-06</t>
        </is>
      </c>
      <c r="B17" s="17" t="inlineStr">
        <is>
          <t>S02</t>
        </is>
      </c>
      <c r="C17" s="18" t="inlineStr">
        <is>
          <t>CLI - Interactive Mode</t>
        </is>
      </c>
      <c r="D17" s="18" t="inlineStr">
        <is>
          <t>Interactive Wizard — Scan Profile Selection Menu</t>
        </is>
      </c>
      <c r="E17" s="18" t="inlineStr">
        <is>
          <t>QuRisk installed.</t>
        </is>
      </c>
      <c r="F17" s="18" t="inlineStr">
        <is>
          <t>1. Run: quirk
2. Progress to profile selection step
3. Enter a number (e.g. 2) to select a profile</t>
        </is>
      </c>
      <c r="G17" s="18" t="inlineStr">
        <is>
          <t>Profile selection: numbered menu</t>
        </is>
      </c>
      <c r="H17" s="18" t="inlineStr">
        <is>
          <t>Numbered menu appears listing scan profiles. Entering 1, 2, or 3 selects profile without error. Selected profile reflected in scan behavior.</t>
        </is>
      </c>
      <c r="I17" s="21" t="inlineStr">
        <is>
          <t>Matches expected result.</t>
        </is>
      </c>
      <c r="J17" s="17" t="inlineStr">
        <is>
          <t>Pass</t>
        </is>
      </c>
      <c r="K17" s="17" t="inlineStr">
        <is>
          <t>High</t>
        </is>
      </c>
      <c r="L17" s="17" t="n"/>
      <c r="M17" s="17" t="n"/>
      <c r="N17" s="17" t="n"/>
      <c r="O17" s="18" t="n"/>
    </row>
    <row r="18" hidden="1" ht="60" customHeight="1" s="25">
      <c r="A18" s="19" t="inlineStr">
        <is>
          <t>UAT-2-07</t>
        </is>
      </c>
      <c r="B18" s="19" t="inlineStr">
        <is>
          <t>S02</t>
        </is>
      </c>
      <c r="C18" s="20" t="inlineStr">
        <is>
          <t>CLI - Interactive Mode</t>
        </is>
      </c>
      <c r="D18" s="20" t="inlineStr">
        <is>
          <t>Interactive Wizard — Data Classification Menu</t>
        </is>
      </c>
      <c r="E18" s="20" t="inlineStr">
        <is>
          <t>QuRisk installed.</t>
        </is>
      </c>
      <c r="F18" s="20" t="inlineStr">
        <is>
          <t>1. Run: quirk
2. Reach data classification step
3. Enter a number to select a tier</t>
        </is>
      </c>
      <c r="G18" s="20" t="inlineStr">
        <is>
          <t>Data classification: numbered menu</t>
        </is>
      </c>
      <c r="H18" s="20" t="inlineStr">
        <is>
          <t>Numbered menu with classification tiers displayed. Entering a number (not text) completes selection. No free-text classification input required.</t>
        </is>
      </c>
      <c r="I18" s="21" t="inlineStr">
        <is>
          <t>Matches expected result.</t>
        </is>
      </c>
      <c r="J18" s="19" t="inlineStr">
        <is>
          <t>Pass</t>
        </is>
      </c>
      <c r="K18" s="19" t="inlineStr">
        <is>
          <t>High</t>
        </is>
      </c>
      <c r="L18" s="19" t="n"/>
      <c r="M18" s="19" t="n"/>
      <c r="N18" s="19" t="n"/>
      <c r="O18" s="20" t="n"/>
    </row>
    <row r="19" hidden="1" ht="60" customHeight="1" s="25">
      <c r="A19" s="17" t="inlineStr">
        <is>
          <t>UAT-2-08</t>
        </is>
      </c>
      <c r="B19" s="17" t="inlineStr">
        <is>
          <t>S02</t>
        </is>
      </c>
      <c r="C19" s="18" t="inlineStr">
        <is>
          <t>CLI - Interactive Mode</t>
        </is>
      </c>
      <c r="D19" s="18" t="inlineStr">
        <is>
          <t>Interactive Wizard — Connector Labels and Credential Warnings</t>
        </is>
      </c>
      <c r="E19" s="18" t="inlineStr">
        <is>
          <t>QuRisk installed.</t>
        </is>
      </c>
      <c r="F19" s="18" t="inlineStr">
        <is>
          <t>1. Run: quirk, reach connector enable step
2. Enable AWS connector (or Azure)
3. Observe label and messages after enabling</t>
        </is>
      </c>
      <c r="G19" s="18" t="n"/>
      <c r="H19" s="18" t="inlineStr">
        <is>
          <t>No '(stub)' in connector labels. Enabling AWS prints message referencing AWS_ACCESS_KEY_ID. Enabling Azure prints message referencing AZURE_CLIENT_ID.</t>
        </is>
      </c>
      <c r="I19" s="21" t="inlineStr">
        <is>
          <t>Matches expected result.</t>
        </is>
      </c>
      <c r="J19" s="17" t="inlineStr">
        <is>
          <t>Pass</t>
        </is>
      </c>
      <c r="K19" s="17" t="inlineStr">
        <is>
          <t>High</t>
        </is>
      </c>
      <c r="L19" s="17" t="n"/>
      <c r="M19" s="17" t="n"/>
      <c r="N19" s="17" t="n"/>
      <c r="O19" s="18" t="n"/>
    </row>
    <row r="20" ht="60" customHeight="1" s="25">
      <c r="A20" s="17" t="inlineStr">
        <is>
          <t>UAT-7-17</t>
        </is>
      </c>
      <c r="B20" s="17" t="inlineStr">
        <is>
          <t>S07</t>
        </is>
      </c>
      <c r="C20" s="18" t="inlineStr">
        <is>
          <t>Web Dashboard UI</t>
        </is>
      </c>
      <c r="D20" s="18" t="inlineStr">
        <is>
          <t>PDF Export — Generate Report</t>
        </is>
      </c>
      <c r="E20" s="18" t="inlineStr">
        <is>
          <t>Dashboard running with scan data.</t>
        </is>
      </c>
      <c r="F20" s="18" t="inlineStr">
        <is>
          <t>1. On Executive page, locate 'Export PDF' button
2. Click the button
3. Wait for PDF to generate (10-30 seconds — Playwright renders headlessly)
4. Observe download</t>
        </is>
      </c>
      <c r="G20" s="18" t="inlineStr">
        <is>
          <t>URL: /executive | Button: Export PDF</t>
        </is>
      </c>
      <c r="H20" s="18" t="inlineStr">
        <is>
          <t>File downloads or save dialog appears. File is valid PDF (open in viewer). PDF contains score, findings summary, and charts. PDF is A4 format. No error toast.</t>
        </is>
      </c>
      <c r="I20" s="14" t="inlineStr">
        <is>
          <t>Pass</t>
        </is>
      </c>
      <c r="J20" s="17" t="inlineStr">
        <is>
          <t>Pass</t>
        </is>
      </c>
      <c r="K20" s="17" t="inlineStr">
        <is>
          <t>Critical</t>
        </is>
      </c>
      <c r="L20" s="17" t="n"/>
      <c r="M20" s="17" t="n"/>
      <c r="N20" s="17" t="n"/>
      <c r="O20" s="18" t="n"/>
    </row>
    <row r="21" hidden="1" ht="60" customHeight="1" s="25">
      <c r="A21" s="17" t="inlineStr">
        <is>
          <t>UAT-3-01</t>
        </is>
      </c>
      <c r="B21" s="17" t="inlineStr">
        <is>
          <t>S03</t>
        </is>
      </c>
      <c r="C21" s="18" t="inlineStr">
        <is>
          <t>CLI - Config-File Mode</t>
        </is>
      </c>
      <c r="D21" s="18" t="inlineStr">
        <is>
          <t>Scan with Config File — Minimal</t>
        </is>
      </c>
      <c r="E21" s="18" t="inlineStr">
        <is>
          <t>Lab running with core services.</t>
        </is>
      </c>
      <c r="F21" s="18" t="inlineStr">
        <is>
          <t>1. Generate config: quirk init
2. Edit config.yaml with targets.include_ips: ["127.0.0.1"] and scan.ports_tls: [443, 8443, 8000, 2222]
3. Run: quirk --config config.yaml</t>
        </is>
      </c>
      <c r="G21" s="18" t="inlineStr">
        <is>
          <t>config.yaml with targets 127.0.0.1, ports 443/8443/8000/2222</t>
        </is>
      </c>
      <c r="H21" s="18" t="inlineStr">
        <is>
          <t>No interactive prompts. Scan starts immediately. Findings generated for specified ports. Exit code 0.</t>
        </is>
      </c>
      <c r="I21" s="18" t="inlineStr">
        <is>
          <t>code=0, findings=['findings-20260414-015759.json']</t>
        </is>
      </c>
      <c r="J21" s="17" t="inlineStr">
        <is>
          <t>Pass</t>
        </is>
      </c>
      <c r="K21" s="17" t="inlineStr">
        <is>
          <t>Critical</t>
        </is>
      </c>
      <c r="L21" s="17" t="n"/>
      <c r="M21" s="17" t="inlineStr">
        <is>
          <t>Auto</t>
        </is>
      </c>
      <c r="N21" s="17" t="inlineStr">
        <is>
          <t>2026-04-13</t>
        </is>
      </c>
      <c r="O21" s="18" t="n"/>
    </row>
    <row r="22" hidden="1" ht="60" customHeight="1" s="25">
      <c r="A22" s="19" t="inlineStr">
        <is>
          <t>UAT-3-02</t>
        </is>
      </c>
      <c r="B22" s="19" t="inlineStr">
        <is>
          <t>S03</t>
        </is>
      </c>
      <c r="C22" s="20" t="inlineStr">
        <is>
          <t>CLI - Config-File Mode</t>
        </is>
      </c>
      <c r="D22" s="20" t="inlineStr">
        <is>
          <t>Scan Profiles — Quick vs Standard vs Deep</t>
        </is>
      </c>
      <c r="E22" s="20" t="inlineStr">
        <is>
          <t>Lab running, config file pointing to 127.0.0.1:443.</t>
        </is>
      </c>
      <c r="F22" s="20" t="inlineStr">
        <is>
          <t>1. quirk --config config.yaml --profile quick; note run-stats
2. quirk --config config.yaml --profile standard
3. quirk --config config.yaml --profile deep
4. Compare run-stats files</t>
        </is>
      </c>
      <c r="G22" s="20" t="inlineStr">
        <is>
          <t>Profiles: quick, standard, deep</t>
        </is>
      </c>
      <c r="H22" s="20" t="inlineStr">
        <is>
          <t>All three profiles complete without error. Deep shows tls_enum_mode: deep. Quick shows tls_enum_mode: off/fast. Deep output has more cipher details.</t>
        </is>
      </c>
      <c r="I22" s="20" t="inlineStr">
        <is>
          <t>{'quick': {'code': 0, 'stats': True}, 'standard': {'code': 0, 'stats': True}, 'deep': {'code': 0, 'stats': True}}</t>
        </is>
      </c>
      <c r="J22" s="19" t="inlineStr">
        <is>
          <t>Pass</t>
        </is>
      </c>
      <c r="K22" s="19" t="inlineStr">
        <is>
          <t>High</t>
        </is>
      </c>
      <c r="L22" s="19" t="n"/>
      <c r="M22" s="19" t="inlineStr">
        <is>
          <t>Auto</t>
        </is>
      </c>
      <c r="N22" s="19" t="inlineStr">
        <is>
          <t>2026-04-13</t>
        </is>
      </c>
      <c r="O22" s="20" t="n"/>
    </row>
    <row r="23" hidden="1" ht="60" customHeight="1" s="25">
      <c r="A23" s="17" t="inlineStr">
        <is>
          <t>UAT-3-03</t>
        </is>
      </c>
      <c r="B23" s="17" t="inlineStr">
        <is>
          <t>S03</t>
        </is>
      </c>
      <c r="C23" s="18" t="inlineStr">
        <is>
          <t>CLI - Config-File Mode</t>
        </is>
      </c>
      <c r="D23" s="18" t="inlineStr">
        <is>
          <t>Score Profile — Strict vs Balanced vs Lenient</t>
        </is>
      </c>
      <c r="E23" s="18" t="inlineStr">
        <is>
          <t>Lab running, completed scan. DB at ./quirk.db (config-file) or quirk-output/quirk.db (interactive).</t>
        </is>
      </c>
      <c r="F23" s="18" t="inlineStr">
        <is>
          <t>1. quirk --config config.yaml --score-profile strict; note score
2. quirk --config config.yaml --score-profile balanced; note score
3. quirk --config config.yaml --score-profile lenient; note score</t>
        </is>
      </c>
      <c r="G23" s="18" t="inlineStr">
        <is>
          <t>Score profiles: strict, balanced, lenient</t>
        </is>
      </c>
      <c r="H23" s="18" t="inlineStr">
        <is>
          <t>score_strict &lt;= score_balanced &lt;= score_lenient. All three scorecard-*.md files contain the profile name. No error for any profile.</t>
        </is>
      </c>
      <c r="I23" s="18" t="inlineStr">
        <is>
          <t>{'strict': 89, 'balanced': 92, 'lenient': 94}</t>
        </is>
      </c>
      <c r="J23" s="17" t="inlineStr">
        <is>
          <t>Pass</t>
        </is>
      </c>
      <c r="K23" s="17" t="inlineStr">
        <is>
          <t>High</t>
        </is>
      </c>
      <c r="L23" s="17" t="n"/>
      <c r="M23" s="17" t="inlineStr">
        <is>
          <t>Auto</t>
        </is>
      </c>
      <c r="N23" s="17" t="inlineStr">
        <is>
          <t>2026-04-13</t>
        </is>
      </c>
      <c r="O23" s="18" t="n"/>
    </row>
    <row r="24" hidden="1" ht="60" customHeight="1" s="25">
      <c r="A24" s="19" t="inlineStr">
        <is>
          <t>UAT-3-04</t>
        </is>
      </c>
      <c r="B24" s="19" t="inlineStr">
        <is>
          <t>S03</t>
        </is>
      </c>
      <c r="C24" s="20" t="inlineStr">
        <is>
          <t>CLI - Config-File Mode</t>
        </is>
      </c>
      <c r="D24" s="20" t="inlineStr">
        <is>
          <t>Verbose Output</t>
        </is>
      </c>
      <c r="E24" s="20" t="inlineStr">
        <is>
          <t>Lab running with core services.</t>
        </is>
      </c>
      <c r="F24" s="20" t="inlineStr">
        <is>
          <t>1. Run: quirk --config config.yaml --verbose
2. Observe terminal output</t>
        </is>
      </c>
      <c r="G24" s="20" t="inlineStr">
        <is>
          <t>--verbose flag</t>
        </is>
      </c>
      <c r="H24" s="20" t="inlineStr">
        <is>
          <t>Per-endpoint scan details printed. Each scanned endpoint produces a log line. TLS handshake results visible per port. Noticeably more verbose than without --verbose.</t>
        </is>
      </c>
      <c r="I24" s="20" t="n"/>
      <c r="J24" s="19" t="inlineStr">
        <is>
          <t>Pass</t>
        </is>
      </c>
      <c r="K24" s="19" t="inlineStr">
        <is>
          <t>High</t>
        </is>
      </c>
      <c r="L24" s="19" t="n"/>
      <c r="M24" s="19" t="inlineStr">
        <is>
          <t>Auto</t>
        </is>
      </c>
      <c r="N24" s="19" t="inlineStr">
        <is>
          <t>2026-04-13</t>
        </is>
      </c>
      <c r="O24" s="20" t="n"/>
    </row>
    <row r="25" hidden="1" ht="60" customHeight="1" s="25">
      <c r="A25" s="17" t="inlineStr">
        <is>
          <t>UAT-3-05</t>
        </is>
      </c>
      <c r="B25" s="17" t="inlineStr">
        <is>
          <t>S03</t>
        </is>
      </c>
      <c r="C25" s="18" t="inlineStr">
        <is>
          <t>CLI - Config-File Mode</t>
        </is>
      </c>
      <c r="D25" s="18" t="inlineStr">
        <is>
          <t>Progress Bars</t>
        </is>
      </c>
      <c r="E25" s="18" t="inlineStr">
        <is>
          <t>Lab running with multiple ports.</t>
        </is>
      </c>
      <c r="F25" s="18" t="inlineStr">
        <is>
          <t>1. Run: quirk --config config.yaml --progress
2. Watch terminal during scan</t>
        </is>
      </c>
      <c r="G25" s="18" t="inlineStr">
        <is>
          <t>--progress flag</t>
        </is>
      </c>
      <c r="H25" s="18" t="inlineStr">
        <is>
          <t>Rich progress bar rendered with phase name (Fingerprinting, TLS Scanning). Bar advances as endpoints processed. Bar completes cleanly. Summary table printed after scan.</t>
        </is>
      </c>
      <c r="I25" s="18" t="n"/>
      <c r="J25" s="17" t="inlineStr">
        <is>
          <t>Pass</t>
        </is>
      </c>
      <c r="K25" s="17" t="inlineStr">
        <is>
          <t>High</t>
        </is>
      </c>
      <c r="L25" s="17" t="n"/>
      <c r="M25" s="17" t="inlineStr">
        <is>
          <t>Auto</t>
        </is>
      </c>
      <c r="N25" s="17" t="inlineStr">
        <is>
          <t>2026-04-13</t>
        </is>
      </c>
      <c r="O25" s="18" t="n"/>
    </row>
    <row r="26" hidden="1" ht="60" customHeight="1" s="25">
      <c r="A26" s="19" t="inlineStr">
        <is>
          <t>UAT-3-06</t>
        </is>
      </c>
      <c r="B26" s="19" t="inlineStr">
        <is>
          <t>S03</t>
        </is>
      </c>
      <c r="C26" s="20" t="inlineStr">
        <is>
          <t>CLI - Config-File Mode</t>
        </is>
      </c>
      <c r="D26" s="20" t="inlineStr">
        <is>
          <t>Safe Mode</t>
        </is>
      </c>
      <c r="E26" s="20" t="inlineStr">
        <is>
          <t>Config file with multiple targets.</t>
        </is>
      </c>
      <c r="F26" s="20" t="inlineStr">
        <is>
          <t>1. Run: quirk --config config.yaml --safe-mode
2. Compare timing to standard scan</t>
        </is>
      </c>
      <c r="G26" s="20" t="inlineStr">
        <is>
          <t>--safe-mode flag</t>
        </is>
      </c>
      <c r="H26" s="20" t="inlineStr">
        <is>
          <t>Scan completes successfully. run-stats-*.json shows safe mode used or reduced concurrency. No timeout errors that appear in standard mode.</t>
        </is>
      </c>
      <c r="I26" s="20" t="n"/>
      <c r="J26" s="19" t="inlineStr">
        <is>
          <t>Pass</t>
        </is>
      </c>
      <c r="K26" s="19" t="inlineStr">
        <is>
          <t>High</t>
        </is>
      </c>
      <c r="L26" s="19" t="n"/>
      <c r="M26" s="19" t="inlineStr">
        <is>
          <t>Auto</t>
        </is>
      </c>
      <c r="N26" s="19" t="inlineStr">
        <is>
          <t>2026-04-13</t>
        </is>
      </c>
      <c r="O26" s="20" t="n"/>
    </row>
    <row r="27" hidden="1" ht="60" customHeight="1" s="25">
      <c r="A27" s="17" t="inlineStr">
        <is>
          <t>UAT-3-07</t>
        </is>
      </c>
      <c r="B27" s="17" t="inlineStr">
        <is>
          <t>S03</t>
        </is>
      </c>
      <c r="C27" s="18" t="inlineStr">
        <is>
          <t>CLI - Config-File Mode</t>
        </is>
      </c>
      <c r="D27" s="18" t="inlineStr">
        <is>
          <t>Discovery Mode — nmap</t>
        </is>
      </c>
      <c r="E27" s="18" t="inlineStr">
        <is>
          <t>nmap installed. Lab running.</t>
        </is>
      </c>
      <c r="F27" s="18" t="inlineStr">
        <is>
          <t>1. Create config targeting 127.0.0.1 with no explicit ports
2. Run: quirk --config config.yaml --discovery nmap
3. Check discovered ports</t>
        </is>
      </c>
      <c r="G27" s="18" t="inlineStr">
        <is>
          <t>--discovery nmap</t>
        </is>
      </c>
      <c r="H27" s="18" t="inlineStr">
        <is>
          <t>nmap pre-scan discovers open ports. Discovered ports include at least 443, 8443, 8000, 2222. run-stats shows discovery_mode: nmap. No crash.</t>
        </is>
      </c>
      <c r="I27" s="18" t="n"/>
      <c r="J27" s="17" t="inlineStr">
        <is>
          <t>Pass</t>
        </is>
      </c>
      <c r="K27" s="17" t="inlineStr">
        <is>
          <t>High</t>
        </is>
      </c>
      <c r="L27" s="17" t="n"/>
      <c r="M27" s="17" t="inlineStr">
        <is>
          <t>Auto</t>
        </is>
      </c>
      <c r="N27" s="17" t="inlineStr">
        <is>
          <t>2026-04-13</t>
        </is>
      </c>
      <c r="O27" s="18" t="n"/>
    </row>
    <row r="28" hidden="1" ht="60" customHeight="1" s="25">
      <c r="A28" s="19" t="inlineStr">
        <is>
          <t>UAT-3-08</t>
        </is>
      </c>
      <c r="B28" s="19" t="inlineStr">
        <is>
          <t>S03</t>
        </is>
      </c>
      <c r="C28" s="20" t="inlineStr">
        <is>
          <t>CLI - Config-File Mode</t>
        </is>
      </c>
      <c r="D28" s="20" t="inlineStr">
        <is>
          <t>Cache Mode</t>
        </is>
      </c>
      <c r="E28" s="20" t="inlineStr">
        <is>
          <t>Lab running. Initial scan completed.</t>
        </is>
      </c>
      <c r="F28" s="20" t="inlineStr">
        <is>
          <t>1. Run: quirk --config config.yaml --cache; note time
2. Run: quirk --config config.yaml --resume; note time</t>
        </is>
      </c>
      <c r="G28" s="20" t="inlineStr">
        <is>
          <t>--cache / --resume flags</t>
        </is>
      </c>
      <c r="H28" s="20" t="inlineStr">
        <is>
          <t>Cached scan is faster. Second run completes faster than first. run-stats for second run shows lower discovery time. Results equivalent between runs.</t>
        </is>
      </c>
      <c r="I28" s="20" t="inlineStr">
        <is>
          <t>run1=3.8s run2=3.9s</t>
        </is>
      </c>
      <c r="J28" s="19" t="inlineStr">
        <is>
          <t>Pass</t>
        </is>
      </c>
      <c r="K28" s="19" t="inlineStr">
        <is>
          <t>High</t>
        </is>
      </c>
      <c r="L28" s="19" t="n"/>
      <c r="M28" s="19" t="inlineStr">
        <is>
          <t>Auto</t>
        </is>
      </c>
      <c r="N28" s="19" t="inlineStr">
        <is>
          <t>2026-04-13</t>
        </is>
      </c>
      <c r="O28" s="20" t="inlineStr">
        <is>
          <t>run1=3.8s run2=3.9s</t>
        </is>
      </c>
    </row>
    <row r="29" hidden="1" ht="60" customHeight="1" s="25">
      <c r="A29" s="17" t="inlineStr">
        <is>
          <t>UAT-3-09</t>
        </is>
      </c>
      <c r="B29" s="17" t="inlineStr">
        <is>
          <t>S03</t>
        </is>
      </c>
      <c r="C29" s="18" t="inlineStr">
        <is>
          <t>CLI - Config-File Mode</t>
        </is>
      </c>
      <c r="D29" s="18" t="inlineStr">
        <is>
          <t>Quiet Mode — Banner Suppression</t>
        </is>
      </c>
      <c r="E29" s="18" t="inlineStr">
        <is>
          <t>Lab running with core services.</t>
        </is>
      </c>
      <c r="F29" s="18" t="inlineStr">
        <is>
          <t>1. Run: quirk --quiet --config config.yaml
2. Observe terminal output
3. Wait for scan to complete</t>
        </is>
      </c>
      <c r="G29" s="18" t="inlineStr">
        <is>
          <t>--quiet flag</t>
        </is>
      </c>
      <c r="H29" s="18" t="inlineStr">
        <is>
          <t>No QU.I.R.K. ASCII art/banner visible at startup. Scan summary table still printed. Scan completes with exit code 0. Output files generated as usual.</t>
        </is>
      </c>
      <c r="I29" s="18" t="n"/>
      <c r="J29" s="17" t="inlineStr">
        <is>
          <t>Pass</t>
        </is>
      </c>
      <c r="K29" s="17" t="inlineStr">
        <is>
          <t>High</t>
        </is>
      </c>
      <c r="L29" s="17" t="n"/>
      <c r="M29" s="17" t="inlineStr">
        <is>
          <t>Auto</t>
        </is>
      </c>
      <c r="N29" s="17" t="inlineStr">
        <is>
          <t>2026-04-13</t>
        </is>
      </c>
      <c r="O29" s="18" t="n"/>
    </row>
    <row r="30" hidden="1" ht="60" customHeight="1" s="25">
      <c r="A30" s="19" t="inlineStr">
        <is>
          <t>UAT-3-10</t>
        </is>
      </c>
      <c r="B30" s="19" t="inlineStr">
        <is>
          <t>S03</t>
        </is>
      </c>
      <c r="C30" s="20" t="inlineStr">
        <is>
          <t>CLI - Config-File Mode</t>
        </is>
      </c>
      <c r="D30" s="20" t="inlineStr">
        <is>
          <t>Rate Limiting</t>
        </is>
      </c>
      <c r="E30" s="20" t="inlineStr">
        <is>
          <t>Lab running with core services. Config targeting at least 5 ports.</t>
        </is>
      </c>
      <c r="F30" s="20" t="inlineStr">
        <is>
          <t>1. Run unlimited: quirk --config config.yaml; record run-stats total time
2. Run: quirk --config config.yaml --rate-limit 2; record time
3. Compare fingerprinting phase duration</t>
        </is>
      </c>
      <c r="G30" s="20" t="inlineStr">
        <is>
          <t>--rate-limit 2</t>
        </is>
      </c>
      <c r="H30" s="20" t="inlineStr">
        <is>
          <t>Both scans complete without error. Rate-limited run-stats shows rate_limit: 2.0. Fingerprinting phase in rate-limited run takes longer. Same number of findings produced.</t>
        </is>
      </c>
      <c r="I30" s="20" t="inlineStr">
        <is>
          <t>rate_limit=2.0</t>
        </is>
      </c>
      <c r="J30" s="19" t="inlineStr">
        <is>
          <t>Pass</t>
        </is>
      </c>
      <c r="K30" s="19" t="inlineStr">
        <is>
          <t>High</t>
        </is>
      </c>
      <c r="L30" s="19" t="n"/>
      <c r="M30" s="19" t="inlineStr">
        <is>
          <t>Auto</t>
        </is>
      </c>
      <c r="N30" s="19" t="inlineStr">
        <is>
          <t>2026-04-13</t>
        </is>
      </c>
      <c r="O30" s="20" t="n"/>
    </row>
    <row r="31" hidden="1" ht="60" customHeight="1" s="25">
      <c r="A31" s="17" t="inlineStr">
        <is>
          <t>UAT-4-01</t>
        </is>
      </c>
      <c r="B31" s="17" t="inlineStr">
        <is>
          <t>S04</t>
        </is>
      </c>
      <c r="C31" s="18" t="inlineStr">
        <is>
          <t>Lab Environment - Core</t>
        </is>
      </c>
      <c r="D31" s="18" t="inlineStr">
        <is>
          <t>Lab Health Check — All Core Services Up</t>
        </is>
      </c>
      <c r="E31" s="18" t="inlineStr">
        <is>
          <t>cd quantum-chaos-enterprise-lab &amp;&amp; docker compose up -d &amp;&amp; sleep 10</t>
        </is>
      </c>
      <c r="F31" s="18" t="inlineStr">
        <is>
          <t>1. Run: docker compose ps
2. Check all core services show 'running' or 'healthy'</t>
        </is>
      </c>
      <c r="G31" s="18" t="inlineStr">
        <is>
          <t>Services: tls-modern(443), tls-legacy(8443), tls-expired(9443), tls-selfsigned(10443), tls-mtls-required(11443), http-on-8444, legacy-http(8000), ssh-alt(2222), unknown-port(5555), tls-slow-proxy(12443)</t>
        </is>
      </c>
      <c r="H31" s="18" t="inlineStr">
        <is>
          <t>All 10 core services are running. All show status Up or running.</t>
        </is>
      </c>
      <c r="I31" s="18" t="inlineStr">
        <is>
          <t>{443: True, 8443: True, 9443: True, 10443: True, 11443: True, 8444: True, 8000: True, 2222: True, 5555: True}</t>
        </is>
      </c>
      <c r="J31" s="17" t="inlineStr">
        <is>
          <t>Pass</t>
        </is>
      </c>
      <c r="K31" s="17" t="inlineStr">
        <is>
          <t>Critical</t>
        </is>
      </c>
      <c r="L31" s="17" t="n"/>
      <c r="M31" s="17" t="inlineStr">
        <is>
          <t>Auto</t>
        </is>
      </c>
      <c r="N31" s="17" t="inlineStr">
        <is>
          <t>2026-04-13</t>
        </is>
      </c>
      <c r="O31" s="18" t="n"/>
    </row>
    <row r="32" hidden="1" ht="60" customHeight="1" s="25">
      <c r="A32" s="19" t="inlineStr">
        <is>
          <t>UAT-4-02</t>
        </is>
      </c>
      <c r="B32" s="19" t="inlineStr">
        <is>
          <t>S04</t>
        </is>
      </c>
      <c r="C32" s="20" t="inlineStr">
        <is>
          <t>Lab Environment - Core</t>
        </is>
      </c>
      <c r="D32" s="20" t="inlineStr">
        <is>
          <t>Modern TLS Service (Port 443)</t>
        </is>
      </c>
      <c r="E32" s="20" t="inlineStr">
        <is>
          <t>Core lab running.</t>
        </is>
      </c>
      <c r="F32" s="20" t="inlineStr">
        <is>
          <t>1. curl -sk https://127.0.0.1:443 | head -5
2. openssl s_client -connect 127.0.0.1:443 -tls1_3 2&gt;&amp;1 | grep 'Protocol'</t>
        </is>
      </c>
      <c r="G32" s="20" t="inlineStr">
        <is>
          <t>Port: 443</t>
        </is>
      </c>
      <c r="H32" s="20" t="inlineStr">
        <is>
          <t>TLS 1.3 negotiated. openssl output shows Protocol: TLSv1.3. curl returns HTTP response (not connection refused).</t>
        </is>
      </c>
      <c r="I32" s="20" t="inlineStr">
        <is>
          <t>open=True</t>
        </is>
      </c>
      <c r="J32" s="19" t="inlineStr">
        <is>
          <t>Pass</t>
        </is>
      </c>
      <c r="K32" s="19" t="inlineStr">
        <is>
          <t>High</t>
        </is>
      </c>
      <c r="L32" s="19" t="n"/>
      <c r="M32" s="19" t="inlineStr">
        <is>
          <t>Auto</t>
        </is>
      </c>
      <c r="N32" s="19" t="inlineStr">
        <is>
          <t>2026-04-13</t>
        </is>
      </c>
      <c r="O32" s="20" t="n"/>
    </row>
    <row r="33" hidden="1" ht="60" customHeight="1" s="25">
      <c r="A33" s="17" t="inlineStr">
        <is>
          <t>UAT-4-03</t>
        </is>
      </c>
      <c r="B33" s="17" t="inlineStr">
        <is>
          <t>S04</t>
        </is>
      </c>
      <c r="C33" s="18" t="inlineStr">
        <is>
          <t>Lab Environment - Core</t>
        </is>
      </c>
      <c r="D33" s="18" t="inlineStr">
        <is>
          <t>Legacy TLS Service (Port 8443)</t>
        </is>
      </c>
      <c r="E33" s="18" t="inlineStr">
        <is>
          <t>Core lab running.</t>
        </is>
      </c>
      <c r="F33" s="18" t="inlineStr">
        <is>
          <t>1. openssl s_client -connect 127.0.0.1:8443 -tls1_2 2&gt;&amp;1 | grep 'Protocol'
2. openssl s_client -connect 127.0.0.1:8443 -tls1 2&gt;&amp;1 | grep -E 'Protocol|error'</t>
        </is>
      </c>
      <c r="G33" s="18" t="inlineStr">
        <is>
          <t>Port: 8443</t>
        </is>
      </c>
      <c r="H33" s="18" t="inlineStr">
        <is>
          <t>TLS 1.2 handshake succeeds. Port responds to TLS connections.</t>
        </is>
      </c>
      <c r="I33" s="18" t="inlineStr">
        <is>
          <t>open=True</t>
        </is>
      </c>
      <c r="J33" s="17" t="inlineStr">
        <is>
          <t>Pass</t>
        </is>
      </c>
      <c r="K33" s="17" t="inlineStr">
        <is>
          <t>High</t>
        </is>
      </c>
      <c r="L33" s="17" t="n"/>
      <c r="M33" s="17" t="inlineStr">
        <is>
          <t>Auto</t>
        </is>
      </c>
      <c r="N33" s="17" t="inlineStr">
        <is>
          <t>2026-04-13</t>
        </is>
      </c>
      <c r="O33" s="18" t="n"/>
    </row>
    <row r="34" hidden="1" ht="60" customHeight="1" s="25">
      <c r="A34" s="19" t="inlineStr">
        <is>
          <t>UAT-4-04</t>
        </is>
      </c>
      <c r="B34" s="19" t="inlineStr">
        <is>
          <t>S04</t>
        </is>
      </c>
      <c r="C34" s="20" t="inlineStr">
        <is>
          <t>Lab Environment - Core</t>
        </is>
      </c>
      <c r="D34" s="20" t="inlineStr">
        <is>
          <t>Expired Certificate (Port 9443)</t>
        </is>
      </c>
      <c r="E34" s="20" t="inlineStr">
        <is>
          <t>Core lab running.</t>
        </is>
      </c>
      <c r="F34" s="20" t="inlineStr">
        <is>
          <t>1. openssl s_client -connect 127.0.0.1:9443 2&gt;&amp;1 | grep -E 'notAfter|verify error'</t>
        </is>
      </c>
      <c r="G34" s="20" t="inlineStr">
        <is>
          <t>Port: 9443</t>
        </is>
      </c>
      <c r="H34" s="20" t="inlineStr">
        <is>
          <t>notAfter date is before today (2026-03-31). verify error:num=10 (certificate has expired) visible OR cert within 30 days of expiry.</t>
        </is>
      </c>
      <c r="I34" s="20" t="inlineStr">
        <is>
          <t>open=True</t>
        </is>
      </c>
      <c r="J34" s="19" t="inlineStr">
        <is>
          <t>Pass</t>
        </is>
      </c>
      <c r="K34" s="19" t="inlineStr">
        <is>
          <t>High</t>
        </is>
      </c>
      <c r="L34" s="19" t="n"/>
      <c r="M34" s="19" t="inlineStr">
        <is>
          <t>Auto</t>
        </is>
      </c>
      <c r="N34" s="19" t="inlineStr">
        <is>
          <t>2026-04-13</t>
        </is>
      </c>
      <c r="O34" s="20" t="n"/>
    </row>
    <row r="35" hidden="1" ht="60" customHeight="1" s="25">
      <c r="A35" s="17" t="inlineStr">
        <is>
          <t>UAT-4-05</t>
        </is>
      </c>
      <c r="B35" s="17" t="inlineStr">
        <is>
          <t>S04</t>
        </is>
      </c>
      <c r="C35" s="18" t="inlineStr">
        <is>
          <t>Lab Environment - Core</t>
        </is>
      </c>
      <c r="D35" s="18" t="inlineStr">
        <is>
          <t>Self-Signed Certificate (Port 10443)</t>
        </is>
      </c>
      <c r="E35" s="18" t="inlineStr">
        <is>
          <t>Core lab running.</t>
        </is>
      </c>
      <c r="F35" s="18" t="inlineStr">
        <is>
          <t>1. openssl s_client -connect 127.0.0.1:10443 2&gt;&amp;1 | grep -E 'verify error|self.signed'</t>
        </is>
      </c>
      <c r="G35" s="18" t="inlineStr">
        <is>
          <t>Port: 10443</t>
        </is>
      </c>
      <c r="H35" s="18" t="inlineStr">
        <is>
          <t>verify error:num=18 (self-signed certificate) OR verify error:num=19 (self-signed certificate in chain).</t>
        </is>
      </c>
      <c r="I35" s="18" t="inlineStr">
        <is>
          <t>open=True</t>
        </is>
      </c>
      <c r="J35" s="17" t="inlineStr">
        <is>
          <t>Pass</t>
        </is>
      </c>
      <c r="K35" s="17" t="inlineStr">
        <is>
          <t>High</t>
        </is>
      </c>
      <c r="L35" s="17" t="n"/>
      <c r="M35" s="17" t="inlineStr">
        <is>
          <t>Auto</t>
        </is>
      </c>
      <c r="N35" s="17" t="inlineStr">
        <is>
          <t>2026-04-13</t>
        </is>
      </c>
      <c r="O35" s="18" t="n"/>
    </row>
    <row r="36" hidden="1" ht="60" customHeight="1" s="25">
      <c r="A36" s="19" t="inlineStr">
        <is>
          <t>UAT-4-06</t>
        </is>
      </c>
      <c r="B36" s="19" t="inlineStr">
        <is>
          <t>S04</t>
        </is>
      </c>
      <c r="C36" s="20" t="inlineStr">
        <is>
          <t>Lab Environment - Core</t>
        </is>
      </c>
      <c r="D36" s="20" t="inlineStr">
        <is>
          <t>mTLS Required (Port 11443)</t>
        </is>
      </c>
      <c r="E36" s="20" t="inlineStr">
        <is>
          <t>Core lab running.</t>
        </is>
      </c>
      <c r="F36" s="20" t="inlineStr">
        <is>
          <t>1. curl -sk https://127.0.0.1:11443
2. Observe error</t>
        </is>
      </c>
      <c r="G36" s="20" t="inlineStr">
        <is>
          <t>Port: 11443</t>
        </is>
      </c>
      <c r="H36" s="20" t="inlineStr">
        <is>
          <t>Connection fails or returns mTLS error without client cert. curl exits non-zero OR returns '400 No required SSL certificate was sent'. Port is reachable (service is up).</t>
        </is>
      </c>
      <c r="I36" s="20" t="inlineStr">
        <is>
          <t>open=True</t>
        </is>
      </c>
      <c r="J36" s="19" t="inlineStr">
        <is>
          <t>Pass</t>
        </is>
      </c>
      <c r="K36" s="19" t="inlineStr">
        <is>
          <t>High</t>
        </is>
      </c>
      <c r="L36" s="19" t="n"/>
      <c r="M36" s="19" t="inlineStr">
        <is>
          <t>Auto</t>
        </is>
      </c>
      <c r="N36" s="19" t="inlineStr">
        <is>
          <t>2026-04-13</t>
        </is>
      </c>
      <c r="O36" s="20" t="n"/>
    </row>
    <row r="37" hidden="1" ht="60" customHeight="1" s="25">
      <c r="A37" s="17" t="inlineStr">
        <is>
          <t>UAT-4-07</t>
        </is>
      </c>
      <c r="B37" s="17" t="inlineStr">
        <is>
          <t>S04</t>
        </is>
      </c>
      <c r="C37" s="18" t="inlineStr">
        <is>
          <t>Lab Environment - Core</t>
        </is>
      </c>
      <c r="D37" s="18" t="inlineStr">
        <is>
          <t>HTTP on TLS-like Port (Port 8444)</t>
        </is>
      </c>
      <c r="E37" s="18" t="inlineStr">
        <is>
          <t>Core lab running.</t>
        </is>
      </c>
      <c r="F37" s="18" t="inlineStr">
        <is>
          <t>1. curl -s http://127.0.0.1:8444
2. curl -sk https://127.0.0.1:8444</t>
        </is>
      </c>
      <c r="G37" s="18" t="inlineStr">
        <is>
          <t>Port: 8444</t>
        </is>
      </c>
      <c r="H37" s="18" t="inlineStr">
        <is>
          <t>HTTP (plaintext) works. HTTPS does not. HTTP curl returns HTTP 200. HTTPS curl fails with SSL error.</t>
        </is>
      </c>
      <c r="I37" s="18" t="inlineStr">
        <is>
          <t>open=True</t>
        </is>
      </c>
      <c r="J37" s="17" t="inlineStr">
        <is>
          <t>Pass</t>
        </is>
      </c>
      <c r="K37" s="17" t="inlineStr">
        <is>
          <t>High</t>
        </is>
      </c>
      <c r="L37" s="17" t="n"/>
      <c r="M37" s="17" t="inlineStr">
        <is>
          <t>Auto</t>
        </is>
      </c>
      <c r="N37" s="17" t="inlineStr">
        <is>
          <t>2026-04-13</t>
        </is>
      </c>
      <c r="O37" s="18" t="n"/>
    </row>
    <row r="38" hidden="1" ht="60" customHeight="1" s="25">
      <c r="A38" s="19" t="inlineStr">
        <is>
          <t>UAT-4-08</t>
        </is>
      </c>
      <c r="B38" s="19" t="inlineStr">
        <is>
          <t>S04</t>
        </is>
      </c>
      <c r="C38" s="20" t="inlineStr">
        <is>
          <t>Lab Environment - Core</t>
        </is>
      </c>
      <c r="D38" s="20" t="inlineStr">
        <is>
          <t>Legacy HTTP Plaintext (Port 8000)</t>
        </is>
      </c>
      <c r="E38" s="20" t="inlineStr">
        <is>
          <t>Core lab running.</t>
        </is>
      </c>
      <c r="F38" s="20" t="inlineStr">
        <is>
          <t>1. curl -s http://127.0.0.1:8000
2. Check response — no TLS, plain HTTP</t>
        </is>
      </c>
      <c r="G38" s="20" t="inlineStr">
        <is>
          <t>Port: 8000</t>
        </is>
      </c>
      <c r="H38" s="20" t="inlineStr">
        <is>
          <t>Plaintext HTTP response. HTTP 200 or 301 returned. No TLS involved.</t>
        </is>
      </c>
      <c r="I38" s="20" t="inlineStr">
        <is>
          <t>open=True</t>
        </is>
      </c>
      <c r="J38" s="19" t="inlineStr">
        <is>
          <t>Pass</t>
        </is>
      </c>
      <c r="K38" s="19" t="inlineStr">
        <is>
          <t>High</t>
        </is>
      </c>
      <c r="L38" s="19" t="n"/>
      <c r="M38" s="19" t="inlineStr">
        <is>
          <t>Auto</t>
        </is>
      </c>
      <c r="N38" s="19" t="inlineStr">
        <is>
          <t>2026-04-13</t>
        </is>
      </c>
      <c r="O38" s="20" t="n"/>
    </row>
    <row r="39" hidden="1" ht="60" customHeight="1" s="25">
      <c r="A39" s="17" t="inlineStr">
        <is>
          <t>UAT-4-09</t>
        </is>
      </c>
      <c r="B39" s="17" t="inlineStr">
        <is>
          <t>S04</t>
        </is>
      </c>
      <c r="C39" s="18" t="inlineStr">
        <is>
          <t>Lab Environment - Core</t>
        </is>
      </c>
      <c r="D39" s="18" t="inlineStr">
        <is>
          <t>SSH Alt Port (Port 2222)</t>
        </is>
      </c>
      <c r="E39" s="18" t="inlineStr">
        <is>
          <t>Core lab running.</t>
        </is>
      </c>
      <c r="F39" s="18" t="inlineStr">
        <is>
          <t>1. ssh-keyscan -p 2222 127.0.0.1 2&gt;&amp;1
2. Or: nc -z 127.0.0.1 2222 &amp;&amp; echo 'open'</t>
        </is>
      </c>
      <c r="G39" s="18" t="inlineStr">
        <is>
          <t>Port: 2222</t>
        </is>
      </c>
      <c r="H39" s="18" t="inlineStr">
        <is>
          <t>SSH service responds. ssh-keyscan returns at least one host key line. Port open and responding to SSH banner.</t>
        </is>
      </c>
      <c r="I39" s="18" t="inlineStr">
        <is>
          <t>open=True</t>
        </is>
      </c>
      <c r="J39" s="17" t="inlineStr">
        <is>
          <t>Pass</t>
        </is>
      </c>
      <c r="K39" s="17" t="inlineStr">
        <is>
          <t>High</t>
        </is>
      </c>
      <c r="L39" s="17" t="n"/>
      <c r="M39" s="17" t="inlineStr">
        <is>
          <t>Auto</t>
        </is>
      </c>
      <c r="N39" s="17" t="inlineStr">
        <is>
          <t>2026-04-13</t>
        </is>
      </c>
      <c r="O39" s="18" t="n"/>
    </row>
    <row r="40" hidden="1" ht="60" customHeight="1" s="25">
      <c r="A40" s="19" t="inlineStr">
        <is>
          <t>UAT-4-10</t>
        </is>
      </c>
      <c r="B40" s="19" t="inlineStr">
        <is>
          <t>S04</t>
        </is>
      </c>
      <c r="C40" s="20" t="inlineStr">
        <is>
          <t>Lab Environment - Core</t>
        </is>
      </c>
      <c r="D40" s="20" t="inlineStr">
        <is>
          <t>Unknown Port (Port 5555)</t>
        </is>
      </c>
      <c r="E40" s="20" t="inlineStr">
        <is>
          <t>Core lab running.</t>
        </is>
      </c>
      <c r="F40" s="20" t="inlineStr">
        <is>
          <t>1. nc -z 127.0.0.1 5555 &amp;&amp; echo 'open'
2. echo 'test' | nc 127.0.0.1 5555</t>
        </is>
      </c>
      <c r="G40" s="20" t="inlineStr">
        <is>
          <t>Port: 5555</t>
        </is>
      </c>
      <c r="H40" s="20" t="inlineStr">
        <is>
          <t>Port 5555 is open. No HTTP or TLS protocol recognized. Responds with raw data.</t>
        </is>
      </c>
      <c r="I40" s="20" t="inlineStr">
        <is>
          <t>open=True</t>
        </is>
      </c>
      <c r="J40" s="19" t="inlineStr">
        <is>
          <t>Pass</t>
        </is>
      </c>
      <c r="K40" s="19" t="inlineStr">
        <is>
          <t>High</t>
        </is>
      </c>
      <c r="L40" s="19" t="n"/>
      <c r="M40" s="19" t="inlineStr">
        <is>
          <t>Auto</t>
        </is>
      </c>
      <c r="N40" s="19" t="inlineStr">
        <is>
          <t>2026-04-13</t>
        </is>
      </c>
      <c r="O40" s="20" t="n"/>
    </row>
    <row r="41" hidden="1" ht="60" customHeight="1" s="25">
      <c r="A41" s="17" t="inlineStr">
        <is>
          <t>UAT-4-11</t>
        </is>
      </c>
      <c r="B41" s="17" t="inlineStr">
        <is>
          <t>S04</t>
        </is>
      </c>
      <c r="C41" s="18" t="inlineStr">
        <is>
          <t>Lab Environment - Core</t>
        </is>
      </c>
      <c r="D41" s="18" t="inlineStr">
        <is>
          <t>Full Core Lab Scan via QuRisk CLI</t>
        </is>
      </c>
      <c r="E41" s="18" t="inlineStr">
        <is>
          <t>Core lab running.</t>
        </is>
      </c>
      <c r="F41" s="18" t="inlineStr">
        <is>
          <t>1. quirk init --output lab-core.yaml
2. Edit with targets 127.0.0.1, ports [443, 8443, 9443, 10443, 11443, 12443, 8444, 8000, 2222, 5555]
3. Run: quirk --config lab-core.yaml --profile standard
4. Check ./lab-core/findings-*.json</t>
        </is>
      </c>
      <c r="G41" s="18" t="inlineStr">
        <is>
          <t>lab-core.yaml | ports: 443,8443,9443,10443,11443,12443,8444,8000,2222,5555</t>
        </is>
      </c>
      <c r="H41" s="18" t="inlineStr">
        <is>
          <t>All 10 services scanned and classified: 443=TLS/MODERN_TLS, 8443=TLS/LEGACY_TLS, 9443=TLS/CERT_EXPIRED, 10443=TLS/CERT_SELFSIGNED, 11443=TLS/MTLS_REQUIRED, 8444=HTTP/HTTP_ON_TLS_LIKE_PORT, 8000=HTTP/PLAINTEXT_HTTP, 2222=SSH, 5555=UNKNOWN. Total findings &gt;= 5.</t>
        </is>
      </c>
      <c r="I41" s="18" t="inlineStr">
        <is>
          <t>10 DB rows, ports covered=[443, 2222, 8000, 8443, 8444, 9443, 10443, 11443]</t>
        </is>
      </c>
      <c r="J41" s="17" t="inlineStr">
        <is>
          <t>Pass</t>
        </is>
      </c>
      <c r="K41" s="17" t="inlineStr">
        <is>
          <t>Critical</t>
        </is>
      </c>
      <c r="L41" s="17" t="n"/>
      <c r="M41" s="17" t="inlineStr">
        <is>
          <t>Auto</t>
        </is>
      </c>
      <c r="N41" s="17" t="inlineStr">
        <is>
          <t>2026-04-13</t>
        </is>
      </c>
      <c r="O41" s="18" t="inlineStr">
        <is>
          <t>10 DB rows, ports covered=[443, 2222, 8000, 8443, 8444, 9443, 10443, 11443]</t>
        </is>
      </c>
    </row>
    <row r="42" ht="60" customHeight="1" s="25">
      <c r="A42" s="19" t="inlineStr">
        <is>
          <t>UAT-1-07</t>
        </is>
      </c>
      <c r="B42" s="19" t="inlineStr">
        <is>
          <t>S01</t>
        </is>
      </c>
      <c r="C42" s="20" t="inlineStr">
        <is>
          <t>Installation &amp; Setup</t>
        </is>
      </c>
      <c r="D42" s="20" t="inlineStr">
        <is>
          <t>Identity Extras Group — Installation</t>
        </is>
      </c>
      <c r="E42" s="20" t="inlineStr">
        <is>
          <t>Python 3.11+ virtual environment, quirk installed without extras.</t>
        </is>
      </c>
      <c r="F42" s="20" t="inlineStr">
        <is>
          <t>1. Run: pip install -e ".[identity]"
2. python -c "import impacket; print(impacket.__version__)"
3. python -c "import dns.dnssec; print('dnssec ok')"
4. python -c "import lxml.etree; print('lxml ok')"
5. python -c "import defusedxml; print('defusedxml ok')"
6. python -c "import signxml; print('signxml ok')"</t>
        </is>
      </c>
      <c r="G42" s="20" t="inlineStr">
        <is>
          <t>pip install -e ".[identity]"</t>
        </is>
      </c>
      <c r="H42" s="20" t="inlineStr">
        <is>
          <t>All identity deps install without conflicts. All 5 imports succeed. No ImportError. quirk --help still exits 0.</t>
        </is>
      </c>
      <c r="I42" s="20" t="inlineStr">
        <is>
          <t>Pass.  Installed and everything prints as OK</t>
        </is>
      </c>
      <c r="J42" s="19" t="inlineStr">
        <is>
          <t>Pass</t>
        </is>
      </c>
      <c r="K42" s="19" t="inlineStr">
        <is>
          <t>High</t>
        </is>
      </c>
      <c r="L42" s="19" t="n"/>
      <c r="M42" s="19" t="n"/>
      <c r="N42" s="19" t="n"/>
      <c r="O42" s="20" t="n"/>
    </row>
    <row r="43" hidden="1" ht="60" customHeight="1" s="25">
      <c r="A43" s="17" t="inlineStr">
        <is>
          <t>UAT-5-02</t>
        </is>
      </c>
      <c r="B43" s="17" t="inlineStr">
        <is>
          <t>S05</t>
        </is>
      </c>
      <c r="C43" s="18" t="inlineStr">
        <is>
          <t>Lab Environment - Extended</t>
        </is>
      </c>
      <c r="D43" s="18" t="inlineStr">
        <is>
          <t>Weak TLS Chain — Missing Intermediate (Port 13443)</t>
        </is>
      </c>
      <c r="E43" s="18" t="inlineStr">
        <is>
          <t>phaseA profile running.</t>
        </is>
      </c>
      <c r="F43" s="18" t="inlineStr">
        <is>
          <t>1. openssl s_client -connect 127.0.0.1:13443 2&gt;&amp;1 | grep -E 'verify error|depth'</t>
        </is>
      </c>
      <c r="G43" s="18" t="inlineStr">
        <is>
          <t>Port: 13443</t>
        </is>
      </c>
      <c r="H43" s="18" t="inlineStr">
        <is>
          <t>verify error:num=2 (unable to get issuer certificate) or similar chain error. Connection still establishes (TLS present, chain incomplete).</t>
        </is>
      </c>
      <c r="I43" s="18" t="inlineStr">
        <is>
          <t>open=True</t>
        </is>
      </c>
      <c r="J43" s="17" t="inlineStr">
        <is>
          <t>Pass</t>
        </is>
      </c>
      <c r="K43" s="17" t="inlineStr">
        <is>
          <t>Medium</t>
        </is>
      </c>
      <c r="L43" s="17" t="n"/>
      <c r="M43" s="17" t="inlineStr">
        <is>
          <t>Auto</t>
        </is>
      </c>
      <c r="N43" s="17" t="inlineStr">
        <is>
          <t>2026-04-13</t>
        </is>
      </c>
      <c r="O43" s="18" t="n"/>
    </row>
    <row r="44" hidden="1" ht="60" customHeight="1" s="25">
      <c r="A44" s="19" t="inlineStr">
        <is>
          <t>UAT-5-03</t>
        </is>
      </c>
      <c r="B44" s="19" t="inlineStr">
        <is>
          <t>S05</t>
        </is>
      </c>
      <c r="C44" s="20" t="inlineStr">
        <is>
          <t>Lab Environment - Extended</t>
        </is>
      </c>
      <c r="D44" s="20" t="inlineStr">
        <is>
          <t>Weak RSA-1024 Key (Port 14443)</t>
        </is>
      </c>
      <c r="E44" s="20" t="inlineStr">
        <is>
          <t>phaseA profile running.</t>
        </is>
      </c>
      <c r="F44" s="20" t="inlineStr">
        <is>
          <t>1. openssl s_client -connect 127.0.0.1:14443 2&gt;&amp;1 | openssl x509 -noout -text 2&gt;/dev/null | grep 'Public-Key'</t>
        </is>
      </c>
      <c r="G44" s="20" t="inlineStr">
        <is>
          <t>Port: 14443</t>
        </is>
      </c>
      <c r="H44" s="20" t="inlineStr">
        <is>
          <t>Output shows 'Public-Key: (1024 bit)'.</t>
        </is>
      </c>
      <c r="I44" s="20" t="inlineStr">
        <is>
          <t>open=True</t>
        </is>
      </c>
      <c r="J44" s="19" t="inlineStr">
        <is>
          <t>Pass</t>
        </is>
      </c>
      <c r="K44" s="19" t="inlineStr">
        <is>
          <t>Medium</t>
        </is>
      </c>
      <c r="L44" s="19" t="n"/>
      <c r="M44" s="19" t="inlineStr">
        <is>
          <t>Auto</t>
        </is>
      </c>
      <c r="N44" s="19" t="inlineStr">
        <is>
          <t>2026-04-13</t>
        </is>
      </c>
      <c r="O44" s="20" t="n"/>
    </row>
    <row r="45" hidden="1" ht="60" customHeight="1" s="25">
      <c r="A45" s="17" t="inlineStr">
        <is>
          <t>UAT-5-04</t>
        </is>
      </c>
      <c r="B45" s="17" t="inlineStr">
        <is>
          <t>S05</t>
        </is>
      </c>
      <c r="C45" s="18" t="inlineStr">
        <is>
          <t>Lab Environment - Extended</t>
        </is>
      </c>
      <c r="D45" s="18" t="inlineStr">
        <is>
          <t>SHA-1 Signed Certificate (Port 15443)</t>
        </is>
      </c>
      <c r="E45" s="18" t="inlineStr">
        <is>
          <t>phaseA profile running.</t>
        </is>
      </c>
      <c r="F45" s="18" t="inlineStr">
        <is>
          <t>1. openssl s_client -connect 127.0.0.1:15443 2&gt;&amp;1 | openssl x509 -noout -text 2&gt;/dev/null | grep 'Signature Algorithm'</t>
        </is>
      </c>
      <c r="G45" s="18" t="inlineStr">
        <is>
          <t>Port: 15443</t>
        </is>
      </c>
      <c r="H45" s="18" t="inlineStr">
        <is>
          <t>Output shows sha1WithRSAEncryption or similar SHA-1 algorithm.</t>
        </is>
      </c>
      <c r="I45" s="18" t="inlineStr">
        <is>
          <t>open=True</t>
        </is>
      </c>
      <c r="J45" s="17" t="inlineStr">
        <is>
          <t>Pass</t>
        </is>
      </c>
      <c r="K45" s="17" t="inlineStr">
        <is>
          <t>Medium</t>
        </is>
      </c>
      <c r="L45" s="17" t="n"/>
      <c r="M45" s="17" t="inlineStr">
        <is>
          <t>Auto</t>
        </is>
      </c>
      <c r="N45" s="17" t="inlineStr">
        <is>
          <t>2026-04-13</t>
        </is>
      </c>
      <c r="O45" s="18" t="n"/>
    </row>
    <row r="46" ht="60" customHeight="1" s="25">
      <c r="A46" s="17" t="inlineStr">
        <is>
          <t>UAT-1-08</t>
        </is>
      </c>
      <c r="B46" s="17" t="inlineStr">
        <is>
          <t>S01</t>
        </is>
      </c>
      <c r="C46" s="18" t="inlineStr">
        <is>
          <t>Installation &amp; Setup</t>
        </is>
      </c>
      <c r="D46" s="18" t="inlineStr">
        <is>
          <t>Config Template — Identity Connectors Section</t>
        </is>
      </c>
      <c r="E46" s="18" t="inlineStr">
        <is>
          <t>QuRisk installed.</t>
        </is>
      </c>
      <c r="F46" s="18" t="inlineStr">
        <is>
          <t>1. Run: quirk init --output /tmp/quirk-identity-test.yaml
2. cat /tmp/quirk-identity-test.yaml
3. Confirm identity fields are commented out</t>
        </is>
      </c>
      <c r="G46" s="18" t="inlineStr">
        <is>
          <t>/tmp/quirk-identity-test.yaml</t>
        </is>
      </c>
      <c r="H46" s="18" t="inlineStr">
        <is>
          <t>Connectors block contains '# enable_kerberos: false', '# enable_saml: false', '# enable_dnssec: false'. Only ONE connectors: key at column 0. File is valid YAML.</t>
        </is>
      </c>
      <c r="I46" s="18" t="inlineStr">
        <is>
          <t>Pass. - Identity fields commented out</t>
        </is>
      </c>
      <c r="J46" s="17" t="inlineStr">
        <is>
          <t>Pass</t>
        </is>
      </c>
      <c r="K46" s="17" t="inlineStr">
        <is>
          <t>High</t>
        </is>
      </c>
      <c r="L46" s="17" t="n"/>
      <c r="M46" s="17" t="n"/>
      <c r="N46" s="17" t="n"/>
      <c r="O46" s="18" t="n"/>
    </row>
    <row r="47" hidden="1" ht="60" customHeight="1" s="25">
      <c r="A47" s="17" t="inlineStr">
        <is>
          <t>UAT-5-06</t>
        </is>
      </c>
      <c r="B47" s="17" t="inlineStr">
        <is>
          <t>S05</t>
        </is>
      </c>
      <c r="C47" s="18" t="inlineStr">
        <is>
          <t>Lab Environment - Extended</t>
        </is>
      </c>
      <c r="D47" s="18" t="inlineStr">
        <is>
          <t>JWT — RS256 (Good) Service (Port 20001)</t>
        </is>
      </c>
      <c r="E47" s="18" t="inlineStr">
        <is>
          <t>jwt profile running.</t>
        </is>
      </c>
      <c r="F47" s="18" t="inlineStr">
        <is>
          <t>1. curl -s http://127.0.0.1:20001/.well-known/jwks.json | python3 -m json.tool</t>
        </is>
      </c>
      <c r="G47" s="18" t="inlineStr">
        <is>
          <t>Port: 20001 | endpoint: /.well-known/jwks.json</t>
        </is>
      </c>
      <c r="H47" s="18" t="inlineStr">
        <is>
          <t>JWKS endpoint returns RS256 key with key size &gt;= 2048. alg field shows RS256. kty is RSA. Key modulus &gt;= 2048 bits.</t>
        </is>
      </c>
      <c r="I47" s="18" t="inlineStr">
        <is>
          <t>open=True</t>
        </is>
      </c>
      <c r="J47" s="17" t="inlineStr">
        <is>
          <t>Pass</t>
        </is>
      </c>
      <c r="K47" s="17" t="inlineStr">
        <is>
          <t>Medium</t>
        </is>
      </c>
      <c r="L47" s="17" t="n"/>
      <c r="M47" s="17" t="inlineStr">
        <is>
          <t>Auto</t>
        </is>
      </c>
      <c r="N47" s="17" t="inlineStr">
        <is>
          <t>2026-04-13</t>
        </is>
      </c>
      <c r="O47" s="18" t="n"/>
    </row>
    <row r="48" hidden="1" ht="60" customHeight="1" s="25">
      <c r="A48" s="19" t="inlineStr">
        <is>
          <t>UAT-5-07</t>
        </is>
      </c>
      <c r="B48" s="19" t="inlineStr">
        <is>
          <t>S05</t>
        </is>
      </c>
      <c r="C48" s="20" t="inlineStr">
        <is>
          <t>Lab Environment - Extended</t>
        </is>
      </c>
      <c r="D48" s="20" t="inlineStr">
        <is>
          <t>JWT — HS256 (Symmetric Weak) Service (Port 20002)</t>
        </is>
      </c>
      <c r="E48" s="20" t="inlineStr">
        <is>
          <t>jwt profile running.</t>
        </is>
      </c>
      <c r="F48" s="20" t="inlineStr">
        <is>
          <t>1. curl -s http://127.0.0.1:20002/.well-known/jwks.json | python3 -m json.tool</t>
        </is>
      </c>
      <c r="G48" s="20" t="inlineStr">
        <is>
          <t>Port: 20002</t>
        </is>
      </c>
      <c r="H48" s="20" t="inlineStr">
        <is>
          <t>alg field shows HS256 OR JWT scanner detects symmetric key usage (no public key in JWKS).</t>
        </is>
      </c>
      <c r="I48" s="20" t="inlineStr">
        <is>
          <t>open=True</t>
        </is>
      </c>
      <c r="J48" s="19" t="inlineStr">
        <is>
          <t>Pass</t>
        </is>
      </c>
      <c r="K48" s="19" t="inlineStr">
        <is>
          <t>Medium</t>
        </is>
      </c>
      <c r="L48" s="19" t="n"/>
      <c r="M48" s="19" t="inlineStr">
        <is>
          <t>Auto</t>
        </is>
      </c>
      <c r="N48" s="19" t="inlineStr">
        <is>
          <t>2026-04-13</t>
        </is>
      </c>
      <c r="O48" s="20" t="n"/>
    </row>
    <row r="49" hidden="1" ht="60" customHeight="1" s="25">
      <c r="A49" s="17" t="inlineStr">
        <is>
          <t>UAT-5-08</t>
        </is>
      </c>
      <c r="B49" s="17" t="inlineStr">
        <is>
          <t>S05</t>
        </is>
      </c>
      <c r="C49" s="18" t="inlineStr">
        <is>
          <t>Lab Environment - Extended</t>
        </is>
      </c>
      <c r="D49" s="18" t="inlineStr">
        <is>
          <t>JWT — RSA-1024 Weak Key (Port 20003)</t>
        </is>
      </c>
      <c r="E49" s="18" t="inlineStr">
        <is>
          <t>jwt profile running.</t>
        </is>
      </c>
      <c r="F49" s="18" t="inlineStr">
        <is>
          <t>1. curl -s http://127.0.0.1:20003/.well-known/jwks.json | python3 -m json.tool</t>
        </is>
      </c>
      <c r="G49" s="18" t="inlineStr">
        <is>
          <t>Port: 20003</t>
        </is>
      </c>
      <c r="H49" s="18" t="inlineStr">
        <is>
          <t>JWKS returns RSA key with 1024-bit modulus. QuRisk JWT scanner flags as weak key size.</t>
        </is>
      </c>
      <c r="I49" s="18" t="inlineStr">
        <is>
          <t>open=True</t>
        </is>
      </c>
      <c r="J49" s="17" t="inlineStr">
        <is>
          <t>Pass</t>
        </is>
      </c>
      <c r="K49" s="17" t="inlineStr">
        <is>
          <t>Medium</t>
        </is>
      </c>
      <c r="L49" s="17" t="n"/>
      <c r="M49" s="17" t="inlineStr">
        <is>
          <t>Auto</t>
        </is>
      </c>
      <c r="N49" s="17" t="inlineStr">
        <is>
          <t>2026-04-13</t>
        </is>
      </c>
      <c r="O49" s="18" t="n"/>
    </row>
    <row r="50" hidden="1" ht="60" customHeight="1" s="25">
      <c r="A50" s="19" t="inlineStr">
        <is>
          <t>UAT-5-09</t>
        </is>
      </c>
      <c r="B50" s="19" t="inlineStr">
        <is>
          <t>S05</t>
        </is>
      </c>
      <c r="C50" s="20" t="inlineStr">
        <is>
          <t>Lab Environment - Extended</t>
        </is>
      </c>
      <c r="D50" s="20" t="inlineStr">
        <is>
          <t>JWT — Algorithm None (Port 20004)</t>
        </is>
      </c>
      <c r="E50" s="20" t="inlineStr">
        <is>
          <t>jwt profile running.</t>
        </is>
      </c>
      <c r="F50" s="20" t="inlineStr">
        <is>
          <t>1. curl -s http://127.0.0.1:20004/.well-known/jwks.json</t>
        </is>
      </c>
      <c r="G50" s="20" t="inlineStr">
        <is>
          <t>Port: 20004</t>
        </is>
      </c>
      <c r="H50" s="20" t="inlineStr">
        <is>
          <t>Service uses alg:none. Response indicates alg:none OR scanner classifies as CRITICAL_NO_SIGNATURE. QuRisk flags as critical finding.</t>
        </is>
      </c>
      <c r="I50" s="20" t="inlineStr">
        <is>
          <t>open=True</t>
        </is>
      </c>
      <c r="J50" s="19" t="inlineStr">
        <is>
          <t>Pass</t>
        </is>
      </c>
      <c r="K50" s="19" t="inlineStr">
        <is>
          <t>Medium</t>
        </is>
      </c>
      <c r="L50" s="19" t="n"/>
      <c r="M50" s="19" t="inlineStr">
        <is>
          <t>Auto</t>
        </is>
      </c>
      <c r="N50" s="19" t="inlineStr">
        <is>
          <t>2026-04-13</t>
        </is>
      </c>
      <c r="O50" s="20" t="n"/>
    </row>
    <row r="51" hidden="1" ht="60" customHeight="1" s="25">
      <c r="A51" s="17" t="inlineStr">
        <is>
          <t>UAT-5-10</t>
        </is>
      </c>
      <c r="B51" s="17" t="inlineStr">
        <is>
          <t>S05</t>
        </is>
      </c>
      <c r="C51" s="18" t="inlineStr">
        <is>
          <t>Lab Environment - Extended</t>
        </is>
      </c>
      <c r="D51" s="18" t="inlineStr">
        <is>
          <t>Full JWT Lab Scan</t>
        </is>
      </c>
      <c r="E51" s="18" t="inlineStr">
        <is>
          <t>jwt profile running.</t>
        </is>
      </c>
      <c r="F51" s="18" t="inlineStr">
        <is>
          <t>1. quirk init --output lab-jwt.yaml
2. Edit with targets 127.0.0.1, ports [20001,20002,20003,20004]
3. Run: quirk --config lab-jwt.yaml
4. Check findings for JWT results</t>
        </is>
      </c>
      <c r="G51" s="18" t="inlineStr">
        <is>
          <t>lab-jwt.yaml | ports: 20001,20002,20003,20004</t>
        </is>
      </c>
      <c r="H51" s="18" t="inlineStr">
        <is>
          <t>At least 3 JWT findings: HS256, RSA-1024, alg:none. Findings include at least one CRITICAL (alg:none). HS256 symmetric key finding. RSA-1024 weak key finding. Total JWT findings &gt;= 3.</t>
        </is>
      </c>
      <c r="I51" s="18" t="n"/>
      <c r="J51" s="17" t="inlineStr">
        <is>
          <t>Pass</t>
        </is>
      </c>
      <c r="K51" s="17" t="inlineStr">
        <is>
          <t>Critical</t>
        </is>
      </c>
      <c r="L51" s="17" t="n"/>
      <c r="M51" s="17" t="inlineStr">
        <is>
          <t>Auto</t>
        </is>
      </c>
      <c r="N51" s="17" t="inlineStr">
        <is>
          <t>2026-04-13</t>
        </is>
      </c>
      <c r="O51" s="18" t="n"/>
    </row>
    <row r="52" hidden="1" ht="60" customHeight="1" s="25">
      <c r="A52" s="19" t="inlineStr">
        <is>
          <t>UAT-5-11</t>
        </is>
      </c>
      <c r="B52" s="19" t="inlineStr">
        <is>
          <t>S05</t>
        </is>
      </c>
      <c r="C52" s="20" t="inlineStr">
        <is>
          <t>Lab Environment - Extended</t>
        </is>
      </c>
      <c r="D52" s="20" t="inlineStr">
        <is>
          <t>SSH Weak Profile (Port 20022)</t>
        </is>
      </c>
      <c r="E52" s="20" t="inlineStr">
        <is>
          <t>ssh-weak profile started.</t>
        </is>
      </c>
      <c r="F52" s="20" t="inlineStr">
        <is>
          <t>1. docker compose --profile ssh-weak up -d &amp;&amp; sleep 5
2. ssh-audit 127.0.0.1:20022 2&gt;&amp;1 | head -40</t>
        </is>
      </c>
      <c r="G52" s="20" t="inlineStr">
        <is>
          <t>Port: 20022 | Profile: ssh-weak</t>
        </is>
      </c>
      <c r="H52" s="20" t="inlineStr">
        <is>
          <t>KEX: diffie-hellman-group1-sha1 flagged CRITICAL. Host Key: ssh-dss flagged CRITICAL. MAC: hmac-md5 flagged CRITICAL. Total critical+warning &gt;= 3.</t>
        </is>
      </c>
      <c r="I52" s="20" t="inlineStr">
        <is>
          <t>open=True</t>
        </is>
      </c>
      <c r="J52" s="19" t="inlineStr">
        <is>
          <t>Pass</t>
        </is>
      </c>
      <c r="K52" s="19" t="inlineStr">
        <is>
          <t>Medium</t>
        </is>
      </c>
      <c r="L52" s="19" t="n"/>
      <c r="M52" s="19" t="inlineStr">
        <is>
          <t>Auto</t>
        </is>
      </c>
      <c r="N52" s="19" t="inlineStr">
        <is>
          <t>2026-04-13</t>
        </is>
      </c>
      <c r="O52" s="20" t="inlineStr">
        <is>
          <t>Port 20022 not reachable</t>
        </is>
      </c>
    </row>
    <row r="53" hidden="1" ht="60" customHeight="1" s="25">
      <c r="A53" s="17" t="inlineStr">
        <is>
          <t>UAT-5-12</t>
        </is>
      </c>
      <c r="B53" s="17" t="inlineStr">
        <is>
          <t>S05</t>
        </is>
      </c>
      <c r="C53" s="18" t="inlineStr">
        <is>
          <t>Lab Environment - Extended</t>
        </is>
      </c>
      <c r="D53" s="18" t="inlineStr">
        <is>
          <t>Weak SSH Scan via QuRisk CLI</t>
        </is>
      </c>
      <c r="E53" s="18" t="inlineStr">
        <is>
          <t>ssh-weak profile running (port 20022).</t>
        </is>
      </c>
      <c r="F53" s="18" t="inlineStr">
        <is>
          <t>1. quirk init --output lab-ssh-weak.yaml
2. Edit with targets 127.0.0.1, ports [20022]
3. Run: quirk --config lab-ssh-weak.yaml --verbose
4. Review ./quirk-output/findings-*.json</t>
        </is>
      </c>
      <c r="G53" s="18" t="inlineStr">
        <is>
          <t>lab-ssh-weak.yaml | port: 20022</t>
        </is>
      </c>
      <c r="H53" s="18" t="inlineStr">
        <is>
          <t>Finding for diffie-hellman-group1-sha1 with HIGH/CRITICAL severity. Finding for ssh-dss host key. Finding for hmac-md5 MAC. All findings have quantum vulnerability assessment.</t>
        </is>
      </c>
      <c r="I53" s="18" t="n"/>
      <c r="J53" s="17" t="inlineStr">
        <is>
          <t>Pass</t>
        </is>
      </c>
      <c r="K53" s="17" t="inlineStr">
        <is>
          <t>Critical</t>
        </is>
      </c>
      <c r="L53" s="17" t="n"/>
      <c r="M53" s="17" t="inlineStr">
        <is>
          <t>Auto</t>
        </is>
      </c>
      <c r="N53" s="17" t="inlineStr">
        <is>
          <t>2026-04-13</t>
        </is>
      </c>
      <c r="O53" s="18" t="n"/>
    </row>
    <row r="54" hidden="1" ht="60" customHeight="1" s="25">
      <c r="A54" s="19" t="inlineStr">
        <is>
          <t>UAT-5-13</t>
        </is>
      </c>
      <c r="B54" s="19" t="inlineStr">
        <is>
          <t>S05</t>
        </is>
      </c>
      <c r="C54" s="20" t="inlineStr">
        <is>
          <t>Lab Environment - Extended</t>
        </is>
      </c>
      <c r="D54" s="20" t="inlineStr">
        <is>
          <t>Identity Profile — Keycloak TLS (Port 15449)</t>
        </is>
      </c>
      <c r="E54" s="20" t="inlineStr">
        <is>
          <t>identity profile running (docker compose --profile identity up -d &amp;&amp; sleep 20).</t>
        </is>
      </c>
      <c r="F54" s="20" t="inlineStr">
        <is>
          <t>1. curl -sk https://127.0.0.1:15449/ | head -5
2. openssl s_client -connect 127.0.0.1:15449 2&gt;&amp;1 | grep 'Protocol'</t>
        </is>
      </c>
      <c r="G54" s="20" t="inlineStr">
        <is>
          <t>Port: 15449 | Profile: identity</t>
        </is>
      </c>
      <c r="H54" s="20" t="inlineStr">
        <is>
          <t>Port 15449 responds to HTTPS. TLS certificate has Keycloak-related subject. TLS version &gt;= 1.2.</t>
        </is>
      </c>
      <c r="I54" s="20" t="inlineStr">
        <is>
          <t>open=True</t>
        </is>
      </c>
      <c r="J54" s="19" t="inlineStr">
        <is>
          <t>Pass</t>
        </is>
      </c>
      <c r="K54" s="19" t="inlineStr">
        <is>
          <t>Medium</t>
        </is>
      </c>
      <c r="L54" s="19" t="n"/>
      <c r="M54" s="19" t="inlineStr">
        <is>
          <t>Auto</t>
        </is>
      </c>
      <c r="N54" s="19" t="inlineStr">
        <is>
          <t>2026-04-13</t>
        </is>
      </c>
      <c r="O54" s="20" t="n"/>
    </row>
    <row r="55" ht="60" customHeight="1" s="25">
      <c r="A55" s="19" t="inlineStr">
        <is>
          <t>UAT-2-03</t>
        </is>
      </c>
      <c r="B55" s="19" t="inlineStr">
        <is>
          <t>S02</t>
        </is>
      </c>
      <c r="C55" s="20" t="inlineStr">
        <is>
          <t>CLI - Interactive Mode</t>
        </is>
      </c>
      <c r="D55" s="20" t="inlineStr">
        <is>
          <t>Interactive Wizard — Multiple Targets</t>
        </is>
      </c>
      <c r="E55" s="20" t="inlineStr">
        <is>
          <t>Lab running.</t>
        </is>
      </c>
      <c r="F55" s="20" t="inlineStr">
        <is>
          <t>1. Run: quirk
2. Enter: 127.0.0.1, 127.0.0.2 (comma or space separated)</t>
        </is>
      </c>
      <c r="G55" s="20" t="inlineStr">
        <is>
          <t>Targets: 127.0.0.1, 127.0.0.2</t>
        </is>
      </c>
      <c r="H55" s="20" t="inlineStr">
        <is>
          <t>Both targets queued for scanning. Scan output includes results for both hosts. No error about invalid target format.</t>
        </is>
      </c>
      <c r="I55" s="14" t="inlineStr">
        <is>
          <t>Pass</t>
        </is>
      </c>
      <c r="J55" s="19" t="inlineStr">
        <is>
          <t>Pass</t>
        </is>
      </c>
      <c r="K55" s="19" t="inlineStr">
        <is>
          <t>High</t>
        </is>
      </c>
      <c r="L55" s="19" t="n"/>
      <c r="M55" s="19" t="inlineStr">
        <is>
          <t>Auto</t>
        </is>
      </c>
      <c r="N55" s="19" t="inlineStr">
        <is>
          <t>2026-04-13</t>
        </is>
      </c>
      <c r="O55" s="20" t="inlineStr">
        <is>
          <t>Both formats failed. code=1</t>
        </is>
      </c>
    </row>
    <row r="56" ht="60" customHeight="1" s="25">
      <c r="A56" s="19" t="inlineStr">
        <is>
          <t>UAT-2-09</t>
        </is>
      </c>
      <c r="B56" s="19" t="inlineStr">
        <is>
          <t>S02</t>
        </is>
      </c>
      <c r="C56" s="20" t="inlineStr">
        <is>
          <t>CLI - Interactive Mode</t>
        </is>
      </c>
      <c r="D56" s="20" t="inlineStr">
        <is>
          <t>Interactive Wizard — Consulting TLS Port Set Applied</t>
        </is>
      </c>
      <c r="E56" s="20" t="inlineStr">
        <is>
          <t>Lab running with core services.</t>
        </is>
      </c>
      <c r="F56" s="20" t="inlineStr">
        <is>
          <t>1. Run quirk, complete wizard with 127.0.0.1 as target
2. After scan, inspect output/run-stats-*.json for port list used</t>
        </is>
      </c>
      <c r="G56" s="20" t="inlineStr">
        <is>
          <t>Target: 127.0.0.1</t>
        </is>
      </c>
      <c r="H56" s="20" t="inlineStr">
        <is>
          <t>Scan uses 17-port consulting set. Ports 636, 6443, 8200 present in scanned set. Ports 443 and 8443 present. No port selection prompt appeared.</t>
        </is>
      </c>
      <c r="I56" s="20" t="inlineStr">
        <is>
          <t>Pass</t>
        </is>
      </c>
      <c r="J56" s="19" t="inlineStr">
        <is>
          <t>Pass</t>
        </is>
      </c>
      <c r="K56" s="19" t="inlineStr">
        <is>
          <t>High</t>
        </is>
      </c>
      <c r="L56" s="19" t="n"/>
      <c r="M56" s="19" t="n"/>
      <c r="N56" s="19" t="n"/>
      <c r="O56" s="20" t="n"/>
    </row>
    <row r="57" ht="60" customHeight="1" s="25">
      <c r="A57" s="19" t="inlineStr">
        <is>
          <t>UAT-9-06</t>
        </is>
      </c>
      <c r="B57" s="19" t="inlineStr">
        <is>
          <t>S09</t>
        </is>
      </c>
      <c r="C57" s="20" t="inlineStr">
        <is>
          <t>Report Generation</t>
        </is>
      </c>
      <c r="D57" s="20" t="inlineStr">
        <is>
          <t>HTML Report — Visual Quality</t>
        </is>
      </c>
      <c r="E57" s="20" t="inlineStr">
        <is>
          <t>Completed scan with multiple finding types.</t>
        </is>
      </c>
      <c r="F57" s="20" t="inlineStr">
        <is>
          <t>1. Open output/report-*.html in Chrome or Firefox
2. Check dark-mode background renders
3. Verify score card section at top
4. Scroll to Executive Summary
5. Scroll to Technical Appendix/Findings
6. Check for broken CSS
7. Resize to mobile width</t>
        </is>
      </c>
      <c r="G57" s="20" t="inlineStr">
        <is>
          <t>output/report-*.html</t>
        </is>
      </c>
      <c r="H57" s="20" t="inlineStr">
        <is>
          <t>Dark-mode background (Zinc palette) renders correctly. Score card with numeric score and label at top. Executive Summary and Technical Appendix populated. No broken images, missing fonts, or layout breaks. No horizontal scroll overflow.</t>
        </is>
      </c>
      <c r="I57" s="20" t="inlineStr">
        <is>
          <t>Pass</t>
        </is>
      </c>
      <c r="J57" s="19" t="inlineStr">
        <is>
          <t>Pass</t>
        </is>
      </c>
      <c r="K57" s="19" t="inlineStr">
        <is>
          <t>High</t>
        </is>
      </c>
      <c r="L57" s="19" t="n"/>
      <c r="M57" s="19" t="n"/>
      <c r="N57" s="19" t="n"/>
      <c r="O57" s="20" t="n"/>
    </row>
    <row r="58" ht="60" customHeight="1" s="25">
      <c r="A58" s="19" t="inlineStr">
        <is>
          <t>UAT-11-02</t>
        </is>
      </c>
      <c r="B58" s="19" t="inlineStr">
        <is>
          <t>S11</t>
        </is>
      </c>
      <c r="C58" s="20" t="inlineStr">
        <is>
          <t>End-to-End Workflow</t>
        </is>
      </c>
      <c r="D58" s="20" t="inlineStr">
        <is>
          <t>Multi-Profile Lab Run — Progressive Discovery</t>
        </is>
      </c>
      <c r="E58" s="20" t="inlineStr">
        <is>
          <t>Docker available.</t>
        </is>
      </c>
      <c r="F58" s="20" t="inlineStr">
        <is>
          <t>1. Run base scan (core only)
2. docker compose --profile phaseA up -d; run expanded scan
3. docker compose --profile jwt up -d; run JWT scan
4. Compare scores across three runs</t>
        </is>
      </c>
      <c r="G58" s="20" t="inlineStr">
        <is>
          <t>Profiles: core, phaseA, jwt</t>
        </is>
      </c>
      <c r="H58" s="20" t="inlineStr">
        <is>
          <t>Each successive scan discovers more endpoints. JWT alg:none finding appears after JWT profile scan. CBOM grows with each scan. Dashboard reflects latest scan on each refresh.</t>
        </is>
      </c>
      <c r="I58" s="20" t="inlineStr">
        <is>
          <t>pass</t>
        </is>
      </c>
      <c r="J58" s="19" t="inlineStr">
        <is>
          <t>Pass</t>
        </is>
      </c>
      <c r="K58" s="19" t="inlineStr">
        <is>
          <t>High</t>
        </is>
      </c>
      <c r="L58" s="19" t="n"/>
      <c r="M58" s="19" t="n"/>
      <c r="N58" s="19" t="n"/>
      <c r="O58" s="20" t="n"/>
    </row>
    <row r="59" ht="60" customHeight="1" s="25">
      <c r="A59" s="19" t="inlineStr">
        <is>
          <t>UAT-10-08</t>
        </is>
      </c>
      <c r="B59" s="19" t="inlineStr">
        <is>
          <t>S10</t>
        </is>
      </c>
      <c r="C59" s="20" t="inlineStr">
        <is>
          <t>Edge Cases &amp; Error Handling</t>
        </is>
      </c>
      <c r="D59" s="20" t="inlineStr">
        <is>
          <t>Dashboard — No Scan Data State</t>
        </is>
      </c>
      <c r="E59" s="20" t="inlineStr">
        <is>
          <t>Empty or absent ./quirk.db.</t>
        </is>
      </c>
      <c r="F59" s="20" t="inlineStr">
        <is>
          <t>1. mv ./quirk.db /tmp/
2. quirk serve --no-open
3. Navigate to http://127.0.0.1:8512</t>
        </is>
      </c>
      <c r="G59" s="20" t="inlineStr">
        <is>
          <t>No quirk.db</t>
        </is>
      </c>
      <c r="H59" s="20" t="inlineStr">
        <is>
          <t>Dashboard loads (not 500 error). Empty state message displayed ('No scan data yet — run quirk to begin'). No JavaScript runtime errors in console.</t>
        </is>
      </c>
      <c r="I59" s="20" t="inlineStr">
        <is>
          <t>Fail - I get 500 error</t>
        </is>
      </c>
      <c r="J59" s="19" t="inlineStr">
        <is>
          <t>Fail</t>
        </is>
      </c>
      <c r="K59" s="19" t="inlineStr">
        <is>
          <t>Low</t>
        </is>
      </c>
      <c r="L59" s="19" t="n"/>
      <c r="M59" s="19" t="n"/>
      <c r="N59" s="19" t="n"/>
      <c r="O59" s="20" t="n"/>
    </row>
    <row r="60" ht="60" customHeight="1" s="25">
      <c r="A60" s="19" t="inlineStr">
        <is>
          <t>UAT-5-01</t>
        </is>
      </c>
      <c r="B60" s="19" t="inlineStr">
        <is>
          <t>S05</t>
        </is>
      </c>
      <c r="C60" s="20" t="inlineStr">
        <is>
          <t>Lab Environment - Extended</t>
        </is>
      </c>
      <c r="D60" s="20" t="inlineStr">
        <is>
          <t>Phase A Profile — Start Services</t>
        </is>
      </c>
      <c r="E60" s="20" t="inlineStr">
        <is>
          <t>Core lab running.</t>
        </is>
      </c>
      <c r="F60" s="20" t="inlineStr">
        <is>
          <t>1. cd quantum-chaos-enterprise-lab
2. docker compose --profile phaseA up -d
3. sleep 10
4. docker compose --profile phaseA ps</t>
        </is>
      </c>
      <c r="G60" s="20" t="inlineStr">
        <is>
          <t>Profile: phaseA | ports: 13443,14443,15443,15001,18000,5556,15432,16379,15672,24443</t>
        </is>
      </c>
      <c r="H60" s="20" t="inlineStr">
        <is>
          <t>All Phase A services are up alongside core services. Services on ports 13443,14443,15443,15001,18000,5556,15432,16379,15672,24443 show 'Up'.</t>
        </is>
      </c>
      <c r="I60" s="20" t="inlineStr">
        <is>
          <t>Container group check — see UAT-4-01</t>
        </is>
      </c>
      <c r="J60" s="19" t="inlineStr">
        <is>
          <t>Skip (Auto)</t>
        </is>
      </c>
      <c r="K60" s="19" t="inlineStr">
        <is>
          <t>Medium</t>
        </is>
      </c>
      <c r="L60" s="19" t="n"/>
      <c r="M60" s="19" t="inlineStr">
        <is>
          <t>Auto</t>
        </is>
      </c>
      <c r="N60" s="19" t="inlineStr">
        <is>
          <t>2026-04-13</t>
        </is>
      </c>
      <c r="O60" s="20" t="inlineStr">
        <is>
          <t>Container group check — see UAT-4-01</t>
        </is>
      </c>
    </row>
    <row r="61" ht="60" customHeight="1" s="25">
      <c r="A61" s="19" t="inlineStr">
        <is>
          <t>UAT-5-05</t>
        </is>
      </c>
      <c r="B61" s="19" t="inlineStr">
        <is>
          <t>S05</t>
        </is>
      </c>
      <c r="C61" s="20" t="inlineStr">
        <is>
          <t>Lab Environment - Extended</t>
        </is>
      </c>
      <c r="D61" s="20" t="inlineStr">
        <is>
          <t>JWT Profile — Start Services</t>
        </is>
      </c>
      <c r="E61" s="20" t="inlineStr">
        <is>
          <t>Core lab running.</t>
        </is>
      </c>
      <c r="F61" s="20" t="inlineStr">
        <is>
          <t>1. docker compose --profile jwt up -d
2. sleep 5
3. Verify ports 20001-20004 are accessible</t>
        </is>
      </c>
      <c r="G61" s="20" t="inlineStr">
        <is>
          <t>Profile: jwt | ports: 20001-20004</t>
        </is>
      </c>
      <c r="H61" s="20" t="inlineStr">
        <is>
          <t>Four JWT services running. curl -s http://127.0.0.1:20001/.well-known/jwks.json returns JSON with keys. Ports 20001-20004 all respond to curl.</t>
        </is>
      </c>
      <c r="I61" s="20" t="inlineStr">
        <is>
          <t>Container group check — see UAT-4-01</t>
        </is>
      </c>
      <c r="J61" s="19" t="inlineStr">
        <is>
          <t>Skip (Auto)</t>
        </is>
      </c>
      <c r="K61" s="19" t="inlineStr">
        <is>
          <t>Medium</t>
        </is>
      </c>
      <c r="L61" s="19" t="n"/>
      <c r="M61" s="19" t="inlineStr">
        <is>
          <t>Auto</t>
        </is>
      </c>
      <c r="N61" s="19" t="inlineStr">
        <is>
          <t>2026-04-13</t>
        </is>
      </c>
      <c r="O61" s="20" t="inlineStr">
        <is>
          <t>Container group check — see UAT-4-01</t>
        </is>
      </c>
    </row>
    <row r="62" ht="60" customHeight="1" s="25">
      <c r="A62" s="17" t="inlineStr">
        <is>
          <t>UAT-5-14</t>
        </is>
      </c>
      <c r="B62" s="17" t="inlineStr">
        <is>
          <t>S05</t>
        </is>
      </c>
      <c r="C62" s="18" t="inlineStr">
        <is>
          <t>Lab Environment - Extended</t>
        </is>
      </c>
      <c r="D62" s="18" t="inlineStr">
        <is>
          <t>Container Registry Scan (Profile: registry)</t>
        </is>
      </c>
      <c r="E62" s="18" t="inlineStr">
        <is>
          <t>Prereqs: Docker running. QUIRK installed.
Start registry profile and wait for healthy seed:
  cd quantum-chaos-enterprise-lab
  docker compose --profile registry up -d
  until docker compose --profile registry ps | grep registry | grep -q healthy; do sleep 2; done</t>
        </is>
      </c>
      <c r="F62" s="18" t="inlineStr">
        <is>
          <t>1. Verify registry is seeded:
   curl -s http://127.0.0.1:20005/v2/_catalog
   Expected: {"repositories":["image-mixed","image-old-libssl","image-old-pycrypto"]}
2. Use the EXISTING lab-registry.yaml from the repo root (do NOT recreate it).
   Verify it contains connectors.enable_container: true and the 3 image refs.
3. Run scan:
   quirk --config lab-registry.yaml
4. Check container findings:
   cat quirk-output/findings.json | python3 -m json.tool | grep '"protocol": "CONTAINER"' | wc -l
5. Teardown: docker compose --profile registry down
NOTE: '--profile registry' is a Docker Compose flag (which services to start).
It is NOT the QUIRK --profile quick/standard/deep scan flag — these are unrelated.</t>
        </is>
      </c>
      <c r="G62" s="18" t="inlineStr">
        <is>
          <t>Registry: 127.0.0.1:20005
Images: image-old-libssl, image-old-pycrypto, image-mixed
Config file: lab-registry.yaml (already exists in repo root — do not recreate)</t>
        </is>
      </c>
      <c r="H62" s="18" t="inlineStr">
        <is>
          <t>curl returns {"repositories":["image-mixed","image-old-libssl","image-old-pycrypto"]}.
QUIRK completes without error.
Total container crypto findings &gt;= 4 in quirk-output/findings.json.
image-old-libssl: openssl finding present.
image-old-pycrypto: cryptography 2.9.2 AND pyopenssl 19.1.0 findings present.</t>
        </is>
      </c>
      <c r="I62" s="18" t="inlineStr">
        <is>
          <t>Fail - findings were not &gt;=4</t>
        </is>
      </c>
      <c r="J62" s="17" t="inlineStr">
        <is>
          <t>Fail</t>
        </is>
      </c>
      <c r="K62" s="17" t="inlineStr">
        <is>
          <t>Medium</t>
        </is>
      </c>
      <c r="L62" s="17" t="n"/>
      <c r="M62" s="17" t="n"/>
      <c r="N62" s="17" t="n"/>
      <c r="O62" s="18" t="inlineStr">
        <is>
          <t>REVISED 2026-04-15: (1) lab-registry.yaml already exists in repo root — step to create it was wrong. (2) Startup must wait for registry health+seed, not just sleep 10. (3) Clarified Docker Compose --profile vs QUIRK --profile naming collision.</t>
        </is>
      </c>
    </row>
    <row r="63" ht="60" customHeight="1" s="25">
      <c r="A63" s="19" t="inlineStr">
        <is>
          <t>UAT-5-15</t>
        </is>
      </c>
      <c r="B63" s="19" t="inlineStr">
        <is>
          <t>S05</t>
        </is>
      </c>
      <c r="C63" s="20" t="inlineStr">
        <is>
          <t>Lab Environment - Extended</t>
        </is>
      </c>
      <c r="D63" s="20" t="inlineStr">
        <is>
          <t>Source Code Scan (Profile: source)</t>
        </is>
      </c>
      <c r="E63" s="20" t="inlineStr">
        <is>
          <t>Prereqs: semgrep installed (pip install semgrep). Docker running. git installed.
Start source profile and wait for Gitea + seed:
  cd quantum-chaos-enterprise-lab
  docker compose --profile source up -d
  until curl -sf http://127.0.0.1:20006 &gt; /dev/null; do echo 'waiting...'; sleep 5; done
  sleep 15  # allow gitea-seed to push repos (Gitea start_period: 30s)
Gitea credentials: admin / admin123</t>
        </is>
      </c>
      <c r="F63" s="20" t="inlineStr">
        <is>
          <t>1. Verify Gitea is up:
   curl -sf http://127.0.0.1:20006 | head -3
2. Verify repos exist:
   curl -s -u admin:admin123 'http://127.0.0.1:20006/api/v1/repos/search' | python3 -m json.tool | grep full_name
   Expected: "admin/crypto-antipatterns-python" and "admin/crypto-antipatterns-go"
3. Clone repos locally (semgrep requires local filesystem paths — URLs do not work):
   cd /tmp
   git clone http://admin:admin123@127.0.0.1:20006/admin/crypto-antipatterns-python
   git clone http://admin:admin123@127.0.0.1:20006/admin/crypto-antipatterns-go
4. Create lab-source.yaml (see Test Data for full YAML).
5. Run scan:
   quirk --config lab-source.yaml
6. Check findings:
   cat quirk-output-source/findings.json | python3 -m json.tool | grep '"protocol": "SOURCE"' | wc -l
7. Teardown:
   docker compose --profile source down
   rm -rf /tmp/crypto-antipatterns-python /tmp/crypto-antipatterns-go</t>
        </is>
      </c>
      <c r="G63" s="20" t="inlineStr">
        <is>
          <t>Gitea: 127.0.0.1:20006 | credentials: admin / admin123
Repos: admin/crypto-antipatterns-python, admin/crypto-antipatterns-go
Cloned to: /tmp/crypto-antipatterns-python, /tmp/crypto-antipatterns-go
lab-source.yaml:
  assessment:
    name: "Chaos Lab - Source Code Scan"
    report_owner: "Security Team"
    data_classification: "CONFIDENTIAL"
    timezone: "UTC"
  targets:
    include_ips: []
  scan:
    ports_tls: []
    timeout_seconds: 300
    concurrency: 1
    include_sni: false
  output:
    directory: "./quirk-output-source"
    db_path: "./quirk-output-source/quirk.db"
  connectors:
    enable_aws: false
    enable_azure: false
    enable_source: true
    source_targets:
      - "/tmp/crypto-antipatterns-python"
      - "/tmp/crypto-antipatterns-go"</t>
        </is>
      </c>
      <c r="H63" s="20" t="inlineStr">
        <is>
          <t>semgrep runs against both cloned repos without error.
MD5 usage detected in Python repo.
Hardcoded keys detected.
Weak random usage detected.
Deprecated protocol (TLS 1.0 pinning) detected.
Total source findings &gt;= 4 across both repos (protocol=SOURCE in findings.json).</t>
        </is>
      </c>
      <c r="I63" s="20" t="n"/>
      <c r="J63" s="19" t="inlineStr">
        <is>
          <t>Pending</t>
        </is>
      </c>
      <c r="K63" s="19" t="inlineStr">
        <is>
          <t>Medium</t>
        </is>
      </c>
      <c r="L63" s="19" t="n"/>
      <c r="M63" s="19" t="n"/>
      <c r="N63" s="19" t="n"/>
      <c r="O63" s="20" t="inlineStr">
        <is>
          <t>REVISED 2026-04-15: (1) sleep 15 insufficient — Gitea needs ~45s; must poll endpoint. (2) semgrep requires local paths — repos must be git-cloned first; URLs do not work. (3) Config key is source_targets not sources. (4) Gitea credentials (admin/admin123) were missing. (5) Output dir changed to quirk-output-source to avoid collision.</t>
        </is>
      </c>
    </row>
    <row r="64" hidden="1" ht="60" customHeight="1" s="25">
      <c r="A64" s="19" t="inlineStr">
        <is>
          <t>UAT-6-01</t>
        </is>
      </c>
      <c r="B64" s="19" t="inlineStr">
        <is>
          <t>S06</t>
        </is>
      </c>
      <c r="C64" s="20" t="inlineStr">
        <is>
          <t>Cryptographic Findings</t>
        </is>
      </c>
      <c r="D64" s="20" t="inlineStr">
        <is>
          <t>Findings Output — JSON Structure</t>
        </is>
      </c>
      <c r="E64" s="20" t="inlineStr">
        <is>
          <t>Completed scan with findings.</t>
        </is>
      </c>
      <c r="F64" s="20" t="inlineStr">
        <is>
          <t>1. Open output/findings-*.json (most recent)
2. python3 -c "import json; d=json.load(open('output/findings-TIMESTAMP.json')); print(list(d[0].keys()))"</t>
        </is>
      </c>
      <c r="G64" s="20" t="inlineStr">
        <is>
          <t>output/findings-*.json</t>
        </is>
      </c>
      <c r="H64" s="20" t="inlineStr">
        <is>
          <t>Each finding object contains: host, port, protocol, severity (CRITICAL/HIGH/MEDIUM/LOW/INFO), title or finding_type, description, quantum_risk or equivalent quantum safety assessment.</t>
        </is>
      </c>
      <c r="I64" s="20" t="inlineStr">
        <is>
          <t>['host', 'port', 'recommendation', 'severity', 'title']</t>
        </is>
      </c>
      <c r="J64" s="19" t="inlineStr">
        <is>
          <t>Pass</t>
        </is>
      </c>
      <c r="K64" s="19" t="inlineStr">
        <is>
          <t>Critical</t>
        </is>
      </c>
      <c r="L64" s="19" t="n"/>
      <c r="M64" s="19" t="inlineStr">
        <is>
          <t>Auto</t>
        </is>
      </c>
      <c r="N64" s="19" t="inlineStr">
        <is>
          <t>2026-04-13</t>
        </is>
      </c>
      <c r="O64" s="20" t="n"/>
    </row>
    <row r="65" hidden="1" ht="60" customHeight="1" s="25">
      <c r="A65" s="17" t="inlineStr">
        <is>
          <t>UAT-6-02</t>
        </is>
      </c>
      <c r="B65" s="17" t="inlineStr">
        <is>
          <t>S06</t>
        </is>
      </c>
      <c r="C65" s="18" t="inlineStr">
        <is>
          <t>Cryptographic Findings</t>
        </is>
      </c>
      <c r="D65" s="18" t="inlineStr">
        <is>
          <t>TLS Findings — Cipher Suite Detection</t>
        </is>
      </c>
      <c r="E65" s="18" t="inlineStr">
        <is>
          <t>Lab core running. Completed scan covering port 8443 (legacy TLS).</t>
        </is>
      </c>
      <c r="F65" s="18" t="inlineStr">
        <is>
          <t>1. Review output/findings-*.json
2. Filter for port 8443: python3 -c "...[f for f in data if f.get('port')==8443]"</t>
        </is>
      </c>
      <c r="G65" s="18" t="inlineStr">
        <is>
          <t>Port: 8443</t>
        </is>
      </c>
      <c r="H65" s="18" t="inlineStr">
        <is>
          <t>At least one finding for port 8443. Finding includes cipher suite name (e.g. TLS_RSA_WITH_AES_128_CBC_SHA). Finding severity is MEDIUM or HIGH. quantum_risk: quantum-vulnerable for RSA key exchange.</t>
        </is>
      </c>
      <c r="I65" s="18" t="inlineStr">
        <is>
          <t>cipher=ECDHE-RSA-AES256-GCM-SHA384, tls=TLSv1.2</t>
        </is>
      </c>
      <c r="J65" s="17" t="inlineStr">
        <is>
          <t>Pass</t>
        </is>
      </c>
      <c r="K65" s="17" t="inlineStr">
        <is>
          <t>High</t>
        </is>
      </c>
      <c r="L65" s="17" t="n"/>
      <c r="M65" s="17" t="inlineStr">
        <is>
          <t>Auto</t>
        </is>
      </c>
      <c r="N65" s="17" t="inlineStr">
        <is>
          <t>2026-04-13</t>
        </is>
      </c>
      <c r="O65" s="18" t="n"/>
    </row>
    <row r="66" hidden="1" ht="60" customHeight="1" s="25">
      <c r="A66" s="19" t="inlineStr">
        <is>
          <t>UAT-6-03</t>
        </is>
      </c>
      <c r="B66" s="19" t="inlineStr">
        <is>
          <t>S06</t>
        </is>
      </c>
      <c r="C66" s="20" t="inlineStr">
        <is>
          <t>Cryptographic Findings</t>
        </is>
      </c>
      <c r="D66" s="20" t="inlineStr">
        <is>
          <t>Certificate Expiry Detection</t>
        </is>
      </c>
      <c r="E66" s="20" t="inlineStr">
        <is>
          <t>Lab core running (port 9443 = expired cert). Completed scan.</t>
        </is>
      </c>
      <c r="F66" s="20" t="inlineStr">
        <is>
          <t>1. cat output/findings-*.json | python3 -m json.tool | grep -A5 '"port": 9443'
2. Review cert fields: expiry date, days remaining</t>
        </is>
      </c>
      <c r="G66" s="20" t="inlineStr">
        <is>
          <t>Port: 9443</t>
        </is>
      </c>
      <c r="H66" s="20" t="inlineStr">
        <is>
          <t>Finding severity is HIGH or CRITICAL. cert_not_after is in the past relative to scan date. Finding type references CERT_EXPIRED. Days remaining is negative.</t>
        </is>
      </c>
      <c r="I66" s="20" t="inlineStr">
        <is>
          <t>cert_not_after=2026-02-20 15:17:33.000000</t>
        </is>
      </c>
      <c r="J66" s="19" t="inlineStr">
        <is>
          <t>Pass</t>
        </is>
      </c>
      <c r="K66" s="19" t="inlineStr">
        <is>
          <t>High</t>
        </is>
      </c>
      <c r="L66" s="19" t="n"/>
      <c r="M66" s="19" t="inlineStr">
        <is>
          <t>Auto</t>
        </is>
      </c>
      <c r="N66" s="19" t="inlineStr">
        <is>
          <t>2026-04-13</t>
        </is>
      </c>
      <c r="O66" s="20" t="n"/>
    </row>
    <row r="67" hidden="1" ht="60" customHeight="1" s="25">
      <c r="A67" s="17" t="inlineStr">
        <is>
          <t>UAT-6-04</t>
        </is>
      </c>
      <c r="B67" s="17" t="inlineStr">
        <is>
          <t>S06</t>
        </is>
      </c>
      <c r="C67" s="18" t="inlineStr">
        <is>
          <t>Cryptographic Findings</t>
        </is>
      </c>
      <c r="D67" s="18" t="inlineStr">
        <is>
          <t>Self-Signed Certificate Detection</t>
        </is>
      </c>
      <c r="E67" s="18" t="inlineStr">
        <is>
          <t>Lab core running (port 10443 = self-signed). Completed scan.</t>
        </is>
      </c>
      <c r="F67" s="18" t="inlineStr">
        <is>
          <t>1. Check findings for port 10443
2. Look for self-signed indicator in cert data</t>
        </is>
      </c>
      <c r="G67" s="18" t="inlineStr">
        <is>
          <t>Port: 10443</t>
        </is>
      </c>
      <c r="H67" s="18" t="inlineStr">
        <is>
          <t>Finding type references CERT_SELFSIGNED or SELF_SIGNED. cert_issuer equals cert_subject in scan data. Finding severity is MEDIUM or HIGH.</t>
        </is>
      </c>
      <c r="I67" s="18" t="inlineStr">
        <is>
          <t>issuer==CN=selfsigned.chaos.local,OU=SelfSigned,O=ChaosLab,L=Lab,ST=NY,C=US: True</t>
        </is>
      </c>
      <c r="J67" s="17" t="inlineStr">
        <is>
          <t>Pass</t>
        </is>
      </c>
      <c r="K67" s="17" t="inlineStr">
        <is>
          <t>High</t>
        </is>
      </c>
      <c r="L67" s="17" t="n"/>
      <c r="M67" s="17" t="inlineStr">
        <is>
          <t>Auto</t>
        </is>
      </c>
      <c r="N67" s="17" t="inlineStr">
        <is>
          <t>2026-04-13</t>
        </is>
      </c>
      <c r="O67" s="18" t="n"/>
    </row>
    <row r="68" hidden="1" ht="60" customHeight="1" s="25">
      <c r="A68" s="19" t="inlineStr">
        <is>
          <t>UAT-6-05</t>
        </is>
      </c>
      <c r="B68" s="19" t="inlineStr">
        <is>
          <t>S06</t>
        </is>
      </c>
      <c r="C68" s="20" t="inlineStr">
        <is>
          <t>Cryptographic Findings</t>
        </is>
      </c>
      <c r="D68" s="20" t="inlineStr">
        <is>
          <t>mTLS Endpoint Classification</t>
        </is>
      </c>
      <c r="E68" s="20" t="inlineStr">
        <is>
          <t>Lab core running (port 11443 = mTLS). Completed scan.</t>
        </is>
      </c>
      <c r="F68" s="20" t="inlineStr">
        <is>
          <t>1. Check findings for port 11443
2. Review protocol classification</t>
        </is>
      </c>
      <c r="G68" s="20" t="inlineStr">
        <is>
          <t>Port: 11443</t>
        </is>
      </c>
      <c r="H68" s="20" t="inlineStr">
        <is>
          <t>Protocol is TLS (not HTTP or UNKNOWN). Condition includes MTLS_REQUIRED or TLS_HANDSHAKE_FAILED. Service correctly identified as TLS, not misclassified as HTTP.</t>
        </is>
      </c>
      <c r="I68" s="20" t="inlineStr">
        <is>
          <t>protocol=TLS, tls_blocker=None</t>
        </is>
      </c>
      <c r="J68" s="19" t="inlineStr">
        <is>
          <t>Pass</t>
        </is>
      </c>
      <c r="K68" s="19" t="inlineStr">
        <is>
          <t>High</t>
        </is>
      </c>
      <c r="L68" s="19" t="n"/>
      <c r="M68" s="19" t="inlineStr">
        <is>
          <t>Auto</t>
        </is>
      </c>
      <c r="N68" s="19" t="inlineStr">
        <is>
          <t>2026-04-13</t>
        </is>
      </c>
      <c r="O68" s="20" t="n"/>
    </row>
    <row r="69" hidden="1" ht="60" customHeight="1" s="25">
      <c r="A69" s="17" t="inlineStr">
        <is>
          <t>UAT-6-06</t>
        </is>
      </c>
      <c r="B69" s="17" t="inlineStr">
        <is>
          <t>S06</t>
        </is>
      </c>
      <c r="C69" s="18" t="inlineStr">
        <is>
          <t>Cryptographic Findings</t>
        </is>
      </c>
      <c r="D69" s="18" t="inlineStr">
        <is>
          <t>Plaintext HTTP Finding — Severity Check</t>
        </is>
      </c>
      <c r="E69" s="18" t="inlineStr">
        <is>
          <t>Lab core running (port 8000 = plaintext HTTP). Completed scan.</t>
        </is>
      </c>
      <c r="F69" s="18" t="inlineStr">
        <is>
          <t>1. Check findings for port 8000
2. Verify severity level</t>
        </is>
      </c>
      <c r="G69" s="18" t="inlineStr">
        <is>
          <t>Port: 8000</t>
        </is>
      </c>
      <c r="H69" s="18" t="inlineStr">
        <is>
          <t>Finding type: PLAINTEXT_HTTP or HTTP_EXPOSURE. Severity: HIGH or CRITICAL. Finding includes remediation guidance.</t>
        </is>
      </c>
      <c r="I69" s="18" t="inlineStr">
        <is>
          <t>severity=HIGH</t>
        </is>
      </c>
      <c r="J69" s="17" t="inlineStr">
        <is>
          <t>Pass</t>
        </is>
      </c>
      <c r="K69" s="17" t="inlineStr">
        <is>
          <t>High</t>
        </is>
      </c>
      <c r="L69" s="17" t="n"/>
      <c r="M69" s="17" t="inlineStr">
        <is>
          <t>Auto</t>
        </is>
      </c>
      <c r="N69" s="17" t="inlineStr">
        <is>
          <t>2026-04-13</t>
        </is>
      </c>
      <c r="O69" s="18" t="inlineStr">
        <is>
          <t>1 finding(s) for port 8000</t>
        </is>
      </c>
    </row>
    <row r="70" hidden="1" ht="60" customHeight="1" s="25">
      <c r="A70" s="19" t="inlineStr">
        <is>
          <t>UAT-6-07</t>
        </is>
      </c>
      <c r="B70" s="19" t="inlineStr">
        <is>
          <t>S06</t>
        </is>
      </c>
      <c r="C70" s="20" t="inlineStr">
        <is>
          <t>Cryptographic Findings</t>
        </is>
      </c>
      <c r="D70" s="20" t="inlineStr">
        <is>
          <t>HTTP on TLS-Like Port Detection</t>
        </is>
      </c>
      <c r="E70" s="20" t="inlineStr">
        <is>
          <t>Lab core running (port 8444 = HTTP on TLS port). Completed scan.</t>
        </is>
      </c>
      <c r="F70" s="20" t="inlineStr">
        <is>
          <t>1. Check findings for port 8444
2. Verify not misclassified as TLS</t>
        </is>
      </c>
      <c r="G70" s="20" t="inlineStr">
        <is>
          <t>Port: 8444</t>
        </is>
      </c>
      <c r="H70" s="20" t="inlineStr">
        <is>
          <t>Protocol: HTTP. Finding type references HTTP_ON_TLS_LIKE_PORT. Severity: HIGH.</t>
        </is>
      </c>
      <c r="I70" s="20" t="inlineStr">
        <is>
          <t>severity=HIGH</t>
        </is>
      </c>
      <c r="J70" s="19" t="inlineStr">
        <is>
          <t>Pass</t>
        </is>
      </c>
      <c r="K70" s="19" t="inlineStr">
        <is>
          <t>High</t>
        </is>
      </c>
      <c r="L70" s="19" t="n"/>
      <c r="M70" s="19" t="inlineStr">
        <is>
          <t>Auto</t>
        </is>
      </c>
      <c r="N70" s="19" t="inlineStr">
        <is>
          <t>2026-04-13</t>
        </is>
      </c>
      <c r="O70" s="20" t="inlineStr">
        <is>
          <t>1 finding(s) for port 8444</t>
        </is>
      </c>
    </row>
    <row r="71" hidden="1" ht="60" customHeight="1" s="25">
      <c r="A71" s="17" t="inlineStr">
        <is>
          <t>UAT-6-08</t>
        </is>
      </c>
      <c r="B71" s="17" t="inlineStr">
        <is>
          <t>S06</t>
        </is>
      </c>
      <c r="C71" s="18" t="inlineStr">
        <is>
          <t>Cryptographic Findings</t>
        </is>
      </c>
      <c r="D71" s="18" t="inlineStr">
        <is>
          <t>Quantum Safety Classification — SSH Algorithms</t>
        </is>
      </c>
      <c r="E71" s="18" t="inlineStr">
        <is>
          <t>Lab running with SSH on port 2222. Completed scan.</t>
        </is>
      </c>
      <c r="F71" s="18" t="inlineStr">
        <is>
          <t>1. Review SSH-related findings in output JSON
2. Check algorithm classifications</t>
        </is>
      </c>
      <c r="G71" s="18" t="inlineStr">
        <is>
          <t>Port: 2222</t>
        </is>
      </c>
      <c r="H71" s="18" t="inlineStr">
        <is>
          <t>ED25519 host key classified as quantum-safe or not quantum-vulnerable. RSA host key classified as quantum-vulnerable. ECDSA algorithms classified as quantum-vulnerable. Each algorithm has NIST quantum level in finding.</t>
        </is>
      </c>
      <c r="I71" s="18" t="inlineStr">
        <is>
          <t>severity=INFO</t>
        </is>
      </c>
      <c r="J71" s="17" t="inlineStr">
        <is>
          <t>Pass</t>
        </is>
      </c>
      <c r="K71" s="17" t="inlineStr">
        <is>
          <t>High</t>
        </is>
      </c>
      <c r="L71" s="17" t="n"/>
      <c r="M71" s="17" t="inlineStr">
        <is>
          <t>Auto</t>
        </is>
      </c>
      <c r="N71" s="17" t="inlineStr">
        <is>
          <t>2026-04-13</t>
        </is>
      </c>
      <c r="O71" s="18" t="inlineStr">
        <is>
          <t>1 finding(s) for port 2222</t>
        </is>
      </c>
    </row>
    <row r="72" hidden="1" ht="60" customHeight="1" s="25">
      <c r="A72" s="19" t="inlineStr">
        <is>
          <t>UAT-6-09</t>
        </is>
      </c>
      <c r="B72" s="19" t="inlineStr">
        <is>
          <t>S06</t>
        </is>
      </c>
      <c r="C72" s="20" t="inlineStr">
        <is>
          <t>Cryptographic Findings</t>
        </is>
      </c>
      <c r="D72" s="20" t="inlineStr">
        <is>
          <t>Scorecard Output — CLI Review</t>
        </is>
      </c>
      <c r="E72" s="20" t="inlineStr">
        <is>
          <t>Completed scan.</t>
        </is>
      </c>
      <c r="F72" s="20" t="inlineStr">
        <is>
          <t>1. cat output/scorecard-*.md
2. Review all sections</t>
        </is>
      </c>
      <c r="G72" s="20" t="inlineStr">
        <is>
          <t>output/scorecard-*.md</t>
        </is>
      </c>
      <c r="H72" s="20" t="inlineStr">
        <is>
          <t>Score between 0 and 100. Confidence score present. '## Key Risk Drivers' section with at least 1 item. '## Recommended Actions (Next 30 Days)' section. '## Recommended Actions (Next 60 Days)' section.</t>
        </is>
      </c>
      <c r="I72" s="20" t="n"/>
      <c r="J72" s="19" t="inlineStr">
        <is>
          <t>Pass</t>
        </is>
      </c>
      <c r="K72" s="19" t="inlineStr">
        <is>
          <t>High</t>
        </is>
      </c>
      <c r="L72" s="19" t="n"/>
      <c r="M72" s="19" t="inlineStr">
        <is>
          <t>Auto</t>
        </is>
      </c>
      <c r="N72" s="19" t="inlineStr">
        <is>
          <t>2026-04-13</t>
        </is>
      </c>
      <c r="O72" s="20" t="n"/>
    </row>
    <row r="73" hidden="1" ht="60" customHeight="1" s="25">
      <c r="A73" s="17" t="inlineStr">
        <is>
          <t>UAT-6-10</t>
        </is>
      </c>
      <c r="B73" s="17" t="inlineStr">
        <is>
          <t>S06</t>
        </is>
      </c>
      <c r="C73" s="18" t="inlineStr">
        <is>
          <t>Cryptographic Findings</t>
        </is>
      </c>
      <c r="D73" s="18" t="inlineStr">
        <is>
          <t>Roadmap Output — Migration Phases</t>
        </is>
      </c>
      <c r="E73" s="18" t="inlineStr">
        <is>
          <t>Completed scan with findings.</t>
        </is>
      </c>
      <c r="F73" s="18" t="inlineStr">
        <is>
          <t>1. cat output/roadmap-*.md
2. Review NOW/NEXT/LATER sections</t>
        </is>
      </c>
      <c r="G73" s="18" t="inlineStr">
        <is>
          <t>output/roadmap-*.md</t>
        </is>
      </c>
      <c r="H73" s="18" t="inlineStr">
        <is>
          <t>## NOW (0-30 days) section present with &gt;= 1 item. ## NEXT (31-90 days) section present. ## LATER (90+ days) section present. Each item has Why: evidence description and Owner: placeholder.</t>
        </is>
      </c>
      <c r="I73" s="18" t="n"/>
      <c r="J73" s="17" t="inlineStr">
        <is>
          <t>Pass</t>
        </is>
      </c>
      <c r="K73" s="17" t="inlineStr">
        <is>
          <t>High</t>
        </is>
      </c>
      <c r="L73" s="17" t="n"/>
      <c r="M73" s="17" t="inlineStr">
        <is>
          <t>Auto</t>
        </is>
      </c>
      <c r="N73" s="17" t="inlineStr">
        <is>
          <t>2026-04-13</t>
        </is>
      </c>
      <c r="O73" s="18" t="n"/>
    </row>
    <row r="74" hidden="1" ht="60" customHeight="1" s="25">
      <c r="A74" s="19" t="inlineStr">
        <is>
          <t>UAT-6-11</t>
        </is>
      </c>
      <c r="B74" s="19" t="inlineStr">
        <is>
          <t>S06</t>
        </is>
      </c>
      <c r="C74" s="20" t="inlineStr">
        <is>
          <t>Cryptographic Findings</t>
        </is>
      </c>
      <c r="D74" s="20" t="inlineStr">
        <is>
          <t>CBOM JSON Structure</t>
        </is>
      </c>
      <c r="E74" s="20" t="inlineStr">
        <is>
          <t>Completed TLS scan.</t>
        </is>
      </c>
      <c r="F74" s="20" t="inlineStr">
        <is>
          <t>1. python3 -c "import json; d=json.load(open('output/cbom-TIMESTAMP.json')); print(d['bomFormat'], d['specVersion'])"
2. Count components: python3 -c "...print(len(d.get('components', [])))"</t>
        </is>
      </c>
      <c r="G74" s="20" t="inlineStr">
        <is>
          <t>output/cbom-*.json</t>
        </is>
      </c>
      <c r="H74" s="20" t="inlineStr">
        <is>
          <t>bomFormat: 'CycloneDX'. specVersion: '1.6'. Components include at least one type: 'cryptographic-asset'. At least one algorithm component. CBOM has serialNumber BOM-ref.</t>
        </is>
      </c>
      <c r="I74" s="20" t="n"/>
      <c r="J74" s="19" t="inlineStr">
        <is>
          <t>Pass</t>
        </is>
      </c>
      <c r="K74" s="19" t="inlineStr">
        <is>
          <t>Critical</t>
        </is>
      </c>
      <c r="L74" s="19" t="n"/>
      <c r="M74" s="19" t="inlineStr">
        <is>
          <t>Auto</t>
        </is>
      </c>
      <c r="N74" s="19" t="inlineStr">
        <is>
          <t>2026-04-13</t>
        </is>
      </c>
      <c r="O74" s="20" t="n"/>
    </row>
    <row r="75" hidden="1" ht="60" customHeight="1" s="25">
      <c r="A75" s="17" t="inlineStr">
        <is>
          <t>UAT-6-12</t>
        </is>
      </c>
      <c r="B75" s="17" t="inlineStr">
        <is>
          <t>S06</t>
        </is>
      </c>
      <c r="C75" s="18" t="inlineStr">
        <is>
          <t>Cryptographic Findings</t>
        </is>
      </c>
      <c r="D75" s="18" t="inlineStr">
        <is>
          <t>CBOM XML Validity</t>
        </is>
      </c>
      <c r="E75" s="18" t="inlineStr">
        <is>
          <t>Completed scan, cbom-*.xml present.</t>
        </is>
      </c>
      <c r="F75" s="18" t="inlineStr">
        <is>
          <t>1. python3 -c "import xml.etree.ElementTree as ET; ET.parse('output/cbom-TIMESTAMP.xml'); print('Valid XML')"</t>
        </is>
      </c>
      <c r="G75" s="18" t="inlineStr">
        <is>
          <t>output/cbom-*.xml</t>
        </is>
      </c>
      <c r="H75" s="18" t="inlineStr">
        <is>
          <t>No XML parse error. Root element is CycloneDX namespace element.</t>
        </is>
      </c>
      <c r="I75" s="18" t="n"/>
      <c r="J75" s="17" t="inlineStr">
        <is>
          <t>Pass</t>
        </is>
      </c>
      <c r="K75" s="17" t="inlineStr">
        <is>
          <t>High</t>
        </is>
      </c>
      <c r="L75" s="17" t="n"/>
      <c r="M75" s="17" t="inlineStr">
        <is>
          <t>Auto</t>
        </is>
      </c>
      <c r="N75" s="17" t="inlineStr">
        <is>
          <t>2026-04-13</t>
        </is>
      </c>
      <c r="O75" s="18" t="n"/>
    </row>
    <row r="76" hidden="1" ht="60" customHeight="1" s="25">
      <c r="A76" s="19" t="inlineStr">
        <is>
          <t>UAT-6-13</t>
        </is>
      </c>
      <c r="B76" s="19" t="inlineStr">
        <is>
          <t>S06</t>
        </is>
      </c>
      <c r="C76" s="20" t="inlineStr">
        <is>
          <t>Cryptographic Findings</t>
        </is>
      </c>
      <c r="D76" s="20" t="inlineStr">
        <is>
          <t>Intelligence JSON — Machine-Readable Output</t>
        </is>
      </c>
      <c r="E76" s="20" t="inlineStr">
        <is>
          <t>Completed scan.</t>
        </is>
      </c>
      <c r="F76" s="20" t="inlineStr">
        <is>
          <t>1. python3 -c "import json; d=json.load(open('output/intelligence-TIMESTAMP.json')); print(list(d.keys()))"</t>
        </is>
      </c>
      <c r="G76" s="20" t="inlineStr">
        <is>
          <t>output/intelligence-*.json</t>
        </is>
      </c>
      <c r="H76" s="20" t="inlineStr">
        <is>
          <t>Keys include: score, confidence, score_label, evidence, roadmap. score is numeric 0-100. confidence is numeric 0-100. roadmap contains NOW/NEXT/LATER items. evidence contains finding counts.</t>
        </is>
      </c>
      <c r="I76" s="20" t="n"/>
      <c r="J76" s="19" t="inlineStr">
        <is>
          <t>Pass</t>
        </is>
      </c>
      <c r="K76" s="19" t="inlineStr">
        <is>
          <t>High</t>
        </is>
      </c>
      <c r="L76" s="19" t="n"/>
      <c r="M76" s="19" t="inlineStr">
        <is>
          <t>Auto</t>
        </is>
      </c>
      <c r="N76" s="19" t="inlineStr">
        <is>
          <t>2026-04-13</t>
        </is>
      </c>
      <c r="O76" s="20" t="n"/>
    </row>
    <row r="77" ht="60" customHeight="1" s="25">
      <c r="A77" s="17" t="inlineStr">
        <is>
          <t>UAT-5-16</t>
        </is>
      </c>
      <c r="B77" s="17" t="inlineStr">
        <is>
          <t>S05</t>
        </is>
      </c>
      <c r="C77" s="18" t="inlineStr">
        <is>
          <t>Lab Environment - Extended</t>
        </is>
      </c>
      <c r="D77" s="18" t="inlineStr">
        <is>
          <t>Cloud KMS Scan — LocalStack (Profile: storage)</t>
        </is>
      </c>
      <c r="E77" s="18" t="inlineStr">
        <is>
          <t>Prereqs: Docker running. AWS CLI installed (for verification). boto3 installed.
Start storage profile and wait for KMS seed:
  cd quantum-chaos-enterprise-lab
  docker compose --profile storage up -d
  until curl -sf http://127.0.0.1:20007/_localstack/health | \
    python3 -c "import sys,json; d=json.load(sys.stdin); sys.exit(0 if d.get('services',{}).get('kms')=='available' else 1)"; do sleep 3; done
  sleep 5  # allow localstack-kms-seed to complete</t>
        </is>
      </c>
      <c r="F77" s="18" t="inlineStr">
        <is>
          <t>1. Verify 4 KMS keys were seeded:
   AWS_ACCESS_KEY_ID=test AWS_SECRET_ACCESS_KEY=test AWS_DEFAULT_REGION=us-east-1 \
     aws --endpoint-url=http://127.0.0.1:20007 kms list-keys
   Expected: Keys array with 4 entries
2. Create lab-kms.yaml (see Test Data for full YAML).
3. Run scan — LocalStack endpoint is set via environment variable (no --cloud flag exists):
   AWS_ENDPOINT_URL=http://127.0.0.1:20007 \
   AWS_ACCESS_KEY_ID=test \
   AWS_SECRET_ACCESS_KEY=test \
   quirk --config lab-kms.yaml
4. Check KMS findings:
   cat quirk-output-kms/findings.json | python3 -m json.tool | grep -E '"service_detail"|"cert_pubkey_alg"'
5. Teardown: docker compose --profile storage down
IMPORTANT: There is no --cloud aws CLI flag in QUIRK. There is no cloud.aws.endpoint config key.
LocalStack is redirected via the AWS_ENDPOINT_URL environment variable (boto3 respects it automatically).</t>
        </is>
      </c>
      <c r="G77" s="18" t="inlineStr">
        <is>
          <t>LocalStack KMS: http://127.0.0.1:20007
AWS env vars: AWS_ENDPOINT_URL=http://127.0.0.1:20007, AWS_ACCESS_KEY_ID=test, AWS_SECRET_ACCESS_KEY=test
lab-kms.yaml:
  assessment:
    name: "Chaos Lab - KMS Scan"
    report_owner: "Security Team"
    data_classification: "CONFIDENTIAL"
    timezone: "UTC"
  targets:
    include_ips: []
  scan:
    ports_tls: []
    timeout_seconds: 10
    concurrency: 1
    include_sni: false
  output:
    directory: "./quirk-output-kms"
    db_path: "./quirk-output-kms/quirk.db"
  connectors:
    enable_aws: true
    aws_region: "us-east-1"
    aws_profile: null</t>
        </is>
      </c>
      <c r="H77" s="18" t="inlineStr">
        <is>
          <t>Scan completes without error.
At least 3 KMS keys discovered (service_detail=KMS in findings.json).
RSA_2048 key(s) classified quantum-vulnerable.
ECC_NIST_P256 key classified quantum-vulnerable.
SYMMETRIC_DEFAULT (AES-256) key classified (not quantum-vulnerable).
NOTE on RSA-1024: LocalStack free tier does not support the RSA_1024 key spec.
The seed creates a second RSA_2048 with description 'RSA-1024 weak equivalent'.
QUIRK reports it as RSA-2048. Adjusted pass: 4 keys total appear in findings.</t>
        </is>
      </c>
      <c r="I77" s="18" t="n"/>
      <c r="J77" s="17" t="inlineStr">
        <is>
          <t>Pending</t>
        </is>
      </c>
      <c r="K77" s="17" t="inlineStr">
        <is>
          <t>Medium</t>
        </is>
      </c>
      <c r="L77" s="17" t="n"/>
      <c r="M77" s="17" t="n"/>
      <c r="N77" s="17" t="n"/>
      <c r="O77" s="18" t="inlineStr">
        <is>
          <t>REVISED 2026-04-15: (1) --cloud aws flag does not exist in QUIRK CLI. (2) cloud.aws.endpoint is not a valid config key. (3) LocalStack redirected via AWS_ENDPOINT_URL env var (boto3 automatic). (4) sleep 10 insufficient — must poll LocalStack health endpoint. (5) RSA_1024 unsupported by LocalStack free tier — seed uses RSA_2048; pass criteria updated.</t>
        </is>
      </c>
    </row>
    <row r="78" ht="60" customHeight="1" s="25">
      <c r="A78" s="19" t="inlineStr">
        <is>
          <t>UAT-5-17</t>
        </is>
      </c>
      <c r="B78" s="19" t="inlineStr">
        <is>
          <t>S05</t>
        </is>
      </c>
      <c r="C78" s="20" t="inlineStr">
        <is>
          <t>Lab Environment - Extended</t>
        </is>
      </c>
      <c r="D78" s="20" t="inlineStr">
        <is>
          <t>LDAPS Profile Scan via CLI (Port 636)</t>
        </is>
      </c>
      <c r="E78" s="20" t="inlineStr">
        <is>
          <t>Prereqs: openssl CLI available.
Start LDAPS profile (there is no lab.sh script — use docker compose directly):
  cd quantum-chaos-enterprise-lab
  docker compose --profile ldaps up -d
  sleep 8  # OpenLDAP TLS initialization</t>
        </is>
      </c>
      <c r="F78" s="20" t="inlineStr">
        <is>
          <t>1. Verify LDAPS TLS handshake:
   openssl s_client -connect 127.0.0.1:636 -showcerts 2&gt;&amp;1 | grep -E 'Protocol|subject'
   Expected: Protocol line (TLSv1.2 or TLSv1.3) and subject showing chaos.local cert
2. Create lab-ldaps.yaml (see Test Data for full YAML).
3. Run scan:
   quirk --config lab-ldaps.yaml
4. Review findings on port 636:
   cat quirk-output-ldaps/findings.json | python3 -m json.tool | grep -A5 '"port": 636'
   Also open quirk-output-ldaps/report.html
5. Teardown: docker compose --profile ldaps down
NOTE: There is no ./lab.sh script in this repository. Original step referencing it was incorrect.</t>
        </is>
      </c>
      <c r="G78" s="20" t="inlineStr">
        <is>
          <t>LDAPS: 127.0.0.1:636 (osixia/openldap:1.5.0 with TLS enabled)
Cert files from: quantum-chaos-enterprise-lab/certs/ (modern.crt, modern.key, ca.crt)
lab-ldaps.yaml:
  assessment:
    name: "Chaos Lab - LDAPS Scan"
    report_owner: "Security Team"
    data_classification: "CONFIDENTIAL"
    timezone: "UTC"
  targets:
    include_ips:
      - "127.0.0.1"
  scan:
    ports_tls: [636]
    timeout_seconds: 10
    concurrency: 10
    include_sni: false
  output:
    directory: "./quirk-output-ldaps"
    db_path: "./quirk-output-ldaps/quirk.db"
  connectors:
    enable_aws: false
    enable_azure: false</t>
        </is>
      </c>
      <c r="H78" s="20" t="inlineStr">
        <is>
          <t>TLS handshake succeeds on port 636 (openssl s_client shows Protocol line).
Certificate findings include self-signed / lab cert detection.
Protocol support (TLS 1.2/1.3) documented in report.
CBOM includes LDAPS TLS algorithms.
No scan errors for port 636 in findings.json.</t>
        </is>
      </c>
      <c r="I78" s="20" t="n"/>
      <c r="J78" s="19" t="inlineStr">
        <is>
          <t>Pending</t>
        </is>
      </c>
      <c r="K78" s="19" t="inlineStr">
        <is>
          <t>Medium</t>
        </is>
      </c>
      <c r="L78" s="19" t="n"/>
      <c r="M78" s="19" t="n"/>
      <c r="N78" s="19" t="n"/>
      <c r="O78" s="20" t="inlineStr">
        <is>
          <t>REVISED 2026-04-15: (1) ./lab.sh does not exist — use docker compose --profile ldaps up -d. (2) sslyze not required (QUIRK uses its own TLS scanner). (3) Provided complete lab-ldaps.yaml with ports_tls:[636] — original gave no YAML values. (4) PROFILE_ARGS env var approach removed.</t>
        </is>
      </c>
    </row>
    <row r="79" ht="60" customHeight="1" s="25">
      <c r="A79" s="17" t="inlineStr">
        <is>
          <t>UAT-5-18</t>
        </is>
      </c>
      <c r="B79" s="17" t="inlineStr">
        <is>
          <t>S05</t>
        </is>
      </c>
      <c r="C79" s="18" t="inlineStr">
        <is>
          <t>Lab Environment - Extended</t>
        </is>
      </c>
      <c r="D79" s="18" t="inlineStr">
        <is>
          <t>Storage Profile — Vault Transit Keys</t>
        </is>
      </c>
      <c r="E79" s="18" t="inlineStr">
        <is>
          <t>Storage profile running (docker compose --profile storage up -d). Vault on port 20009.
IMPORTANT: QUIRK has no HashiCorp Vault transit connector.
This test is a PRE-FLIGHT REACHABILITY CHECK only — it verifies the lab is correctly seeded.
Vault transit keys do NOT appear in QUIRK CBOM output at this time.</t>
        </is>
      </c>
      <c r="F79" s="18" t="inlineStr">
        <is>
          <t>1. Vault health check:
   curl -s http://localhost:20009/v1/sys/health | python3 -m json.tool
2. Verify rsa-2048 transit key:
   curl -s -H 'X-Vault-Token: root' http://localhost:20009/v1/transit/keys/rsa-2048 | python3 -m json.tool | grep '"type"'
3. Verify rsa-1024 transit key:
   curl -s -H 'X-Vault-Token: root' http://localhost:20009/v1/transit/keys/rsa-1024 | python3 -m json.tool | grep '"type"'
4. Verify aes256 transit key:
   curl -s -H 'X-Vault-Token: root' http://localhost:20009/v1/transit/keys/aes256 | python3 -m json.tool | grep '"type"'
5. List all transit keys:
   curl -s -H 'X-Vault-Token: root' -X LIST http://localhost:20009/v1/transit/keys | python3 -m json.tool</t>
        </is>
      </c>
      <c r="G79" s="18" t="inlineStr">
        <is>
          <t>Vault: http://localhost:20009 (dev mode HTTP only, token: root)
Transit keys: rsa-2048 (rsa-2048), rsa-1024 (rsa-1024), aes256 (aes256-gcm96), ecdsa-p256 (ecdsa-p256)</t>
        </is>
      </c>
      <c r="H79" s="18" t="inlineStr">
        <is>
          <t>PRE-FLIGHT PASS CRITERIA (not a QUIRK scan):
All curl commands return HTTP 200.
rsa-2048 key: "type": "rsa-2048" in response.
rsa-1024 key: "type": "rsa-1024" in response.
aes256 key: "type": "aes256-gcm96" in response.
Transit keys list returns all 4 key names.
QUIRK CBOM will NOT contain Vault transit key entries (no connector implemented).</t>
        </is>
      </c>
      <c r="I79" s="18" t="n"/>
      <c r="J79" s="17" t="inlineStr">
        <is>
          <t>Pending</t>
        </is>
      </c>
      <c r="K79" s="17" t="inlineStr">
        <is>
          <t>Medium</t>
        </is>
      </c>
      <c r="L79" s="17" t="n"/>
      <c r="M79" s="17" t="n"/>
      <c r="N79" s="17" t="n"/>
      <c r="O79" s="18" t="inlineStr">
        <is>
          <t>REVISED 2026-04-15: QUIRK has no Vault transit connector — run_scan.py has no enable_vault key. Vault runs in dev mode on HTTP so TLS scanner won't reach it either. Reframed as pre-flight reachability check. Backlog item needed: Vault connector.</t>
        </is>
      </c>
    </row>
    <row r="80" ht="60" customHeight="1" s="25">
      <c r="A80" s="19" t="inlineStr">
        <is>
          <t>UAT-5-19</t>
        </is>
      </c>
      <c r="B80" s="19" t="inlineStr">
        <is>
          <t>S05</t>
        </is>
      </c>
      <c r="C80" s="20" t="inlineStr">
        <is>
          <t>Lab Environment - Extended</t>
        </is>
      </c>
      <c r="D80" s="20" t="inlineStr">
        <is>
          <t>Storage Profile — PostgreSQL pgcrypto Reachability</t>
        </is>
      </c>
      <c r="E80" s="20" t="inlineStr">
        <is>
          <t>Storage profile running (docker compose --profile storage up -d).
PostgreSQL: 127.0.0.1:20010 | db: pgcrypto_lab | user: pglab | password: pglab
IMPORTANT: QUIRK has no pgcrypto connector.
This test is a PRE-FLIGHT REACHABILITY CHECK only.</t>
        </is>
      </c>
      <c r="F80" s="20" t="inlineStr">
        <is>
          <t>1. Check port reachability:
   pg_isready -h 127.0.0.1 -p 20010 -U pglab
   Expected: 127.0.0.1:20010 - accepting connections
2. Verify encrypted_demo table (run from repo root):
   docker compose -f quantum-chaos-enterprise-lab/docker-compose.yml \
     exec postgres-pgcrypto psql -U pglab -d pgcrypto_lab \
     -c 'SELECT count(*) FROM encrypted_demo;'
   Expected: count &gt;= 1
3. Confirm pgp_sym_encrypt was used:
   docker compose -f quantum-chaos-enterprise-lab/docker-compose.yml \
     exec postgres-pgcrypto psql -U pglab -d pgcrypto_lab \
     -c 'SELECT pg_column_size(payload) &gt; 0 FROM encrypted_demo LIMIT 1;'
   Expected: t</t>
        </is>
      </c>
      <c r="G80" s="20" t="inlineStr">
        <is>
          <t>PostgreSQL: 127.0.0.1:20010
Database: pgcrypto_lab | User: pglab | Password: pglab
Table: encrypted_demo (rows encrypted with pgp_sym_encrypt via postgres-init.sql)</t>
        </is>
      </c>
      <c r="H80" s="20" t="inlineStr">
        <is>
          <t>PRE-FLIGHT PASS CRITERIA (not a QUIRK scan):
pg_isready returns 'accepting connections'.
encrypted_demo table exists and contains &gt;= 1 row.
pgp_sym_encrypt used (pg_column_size check returns t).
Service confirmed as valid scan target for future pgcrypto connector.</t>
        </is>
      </c>
      <c r="I80" s="20" t="n"/>
      <c r="J80" s="19" t="inlineStr">
        <is>
          <t>Pending</t>
        </is>
      </c>
      <c r="K80" s="19" t="inlineStr">
        <is>
          <t>Medium</t>
        </is>
      </c>
      <c r="L80" s="19" t="n"/>
      <c r="M80" s="19" t="n"/>
      <c r="N80" s="19" t="n"/>
      <c r="O80" s="20" t="inlineStr">
        <is>
          <t>REVISED 2026-04-15: QUIRK has no pgcrypto connector. Reframed as pre-flight reachability check. Fixed docker compose exec command — needs -f flag when run from repo root. Original 'docker compose exec postgres-pgcrypto' would fail without the compose file path.</t>
        </is>
      </c>
    </row>
    <row r="81" ht="60" customHeight="1" s="25">
      <c r="A81" s="17" t="inlineStr">
        <is>
          <t>UAT-5-20</t>
        </is>
      </c>
      <c r="B81" s="17" t="inlineStr">
        <is>
          <t>S05</t>
        </is>
      </c>
      <c r="C81" s="18" t="inlineStr">
        <is>
          <t>Lab Environment - Extended</t>
        </is>
      </c>
      <c r="D81" s="18" t="inlineStr">
        <is>
          <t>DNSSEC Profile — Chaos Lab Zones</t>
        </is>
      </c>
      <c r="E81" s="18" t="inlineStr">
        <is>
          <t>Prereqs: dnspython installed (pip install dnspython). Docker available.
macOS REQUIRED SETUP — route .chaos.local queries to lab BIND9:
  sudo mkdir -p /etc/resolver
  printf 'nameserver 127.0.0.1\nport 15353\n' | sudo tee /etc/resolver/chaos.local
(Remove after testing: sudo rm /etc/resolver/chaos.local)
Start DNSSEC profile:
  cd quantum-chaos-enterprise-lab
  docker compose --profile dnssec up -d &amp;&amp; sleep 15</t>
        </is>
      </c>
      <c r="F81" s="18" t="inlineStr">
        <is>
          <t>1. Verify BIND9 zones are answering:
   dig @127.0.0.1 -p 15353 weak.chaos.local SOA
   dig @127.0.0.1 -p 15353 weak.chaos.local DNSKEY
   dig @127.0.0.1 -p 15353 unsigned.chaos.local SOA
2. Create lab-dnssec.yaml (see Test Data for full YAML).
3. Run QUIRK scan:
   quirk --config lab-dnssec.yaml
4. Check DNSSEC findings:
   cat quirk-output-dnssec/findings.json | python3 -m json.tool | grep -E '"cert_pubkey_alg"|"service_detail"'
5. Run integration test (validates scanner directly):
   QUIRK_INTEGRATION_TESTS=1 pytest tests/test_dnssec_scanner.py -k 'integration' -v
6. Teardown:
   docker compose --profile dnssec down
   sudo rm -f /etc/resolver/chaos.local</t>
        </is>
      </c>
      <c r="G81" s="18" t="inlineStr">
        <is>
          <t>BIND9: 127.0.0.1:15353
Zones: weak.chaos.local, safe.chaos.local, broken.chaos.local, unsigned.chaos.local
lab-dnssec.yaml:
  assessment:
    name: "Chaos Lab - DNSSEC Scan"
    report_owner: "Security Team"
    data_classification: "CONFIDENTIAL"
    timezone: "UTC"
  targets:
    include_ips: []
  scan:
    ports_tls: []
    timeout_seconds: 10
    concurrency: 1
    include_sni: false
  output:
    directory: "./quirk-output-dnssec"
    db_path: "./quirk-output-dnssec/quirk.db"
  connectors:
    enable_aws: false
    enable_azure: false
    enable_dnssec: true
    dnssec_targets:
      - "weak.chaos.local"
      - "safe.chaos.local"
      - "broken.chaos.local"
      - "unsigned.chaos.local"</t>
        </is>
      </c>
      <c r="H81" s="18" t="inlineStr">
        <is>
          <t>bind9-dnssec shows 'Up'.
dig returns DNSKEY records for weak.chaos.local (algorithm 5 = RSASHA1).
dig returns NOERROR with no DNSKEY for unsigned.chaos.local.
QUIRK scan: findings.json contains DNSSEC entries with RSASHA1, ECDSAP256SHA256, ds-chain-broken, unsigned-zone.
Integration test: passes with all 4 expected findings. No test failures.</t>
        </is>
      </c>
      <c r="I81" s="18" t="n"/>
      <c r="J81" s="17" t="inlineStr">
        <is>
          <t>Pending</t>
        </is>
      </c>
      <c r="K81" s="17" t="inlineStr">
        <is>
          <t>Medium</t>
        </is>
      </c>
      <c r="L81" s="17" t="n"/>
      <c r="M81" s="17" t="n"/>
      <c r="N81" s="17" t="n"/>
      <c r="O81" s="18" t="inlineStr">
        <is>
          <t>REVISED 2026-04-15: (1) Added required macOS /etc/resolver/chaos.local setup — DNSSEC scanner uses system resolver and cannot reach .chaos.local without it. (2) Added QUIRK CLI config (lab-dnssec.yaml) with enable_dnssec + dnssec_targets. (3) Integration test step was already correct.</t>
        </is>
      </c>
    </row>
    <row r="82" ht="60" customHeight="1" s="25">
      <c r="A82" s="19" t="inlineStr">
        <is>
          <t>UAT-5-21</t>
        </is>
      </c>
      <c r="B82" s="19" t="inlineStr">
        <is>
          <t>S05</t>
        </is>
      </c>
      <c r="C82" s="20" t="inlineStr">
        <is>
          <t>Lab Environment - Extended</t>
        </is>
      </c>
      <c r="D82" s="20" t="inlineStr">
        <is>
          <t>SAML/OIDC Profile — Chaos Lab SimpleSAMLphp</t>
        </is>
      </c>
      <c r="E82" s="20" t="inlineStr">
        <is>
          <t>Prereqs: lxml installed (pip install lxml). Docker available.
Start SAML profile:
  cd quantum-chaos-enterprise-lab
  docker compose --profile saml up -d &amp;&amp; sleep 20</t>
        </is>
      </c>
      <c r="F82" s="20" t="inlineStr">
        <is>
          <t>1. Verify SimpleSAMLphp is up:
   curl -sf 'http://localhost:8080/simplesaml/' | head -5
2. Verify signing cert in metadata (CORRECTED — original had Excel-escaped quotes):
   curl -sf 'http://localhost:8080/simplesaml/saml2/idp/metadata.php' | grep -o 'use="signing"'
   Expected: use="signing"
3. Create lab-saml.yaml (see Test Data for full YAML).
4. Run QUIRK scan:
   quirk --config lab-saml.yaml
5. Check SAML findings:
   cat quirk-output-saml/findings.json | python3 -m json.tool | grep -E '"protocol"|"cert_pubkey_size"'
6. Run integration test:
   QUIRK_INTEGRATION_TESTS=1 pytest tests/test_saml_scanner.py -k 'chaos_lab' -v
7. Teardown: docker compose --profile saml down</t>
        </is>
      </c>
      <c r="G82" s="20" t="inlineStr">
        <is>
          <t>SimpleSAMLphp: localhost:8080
Metadata endpoint: http://localhost:8080/simplesaml/saml2/idp/metadata.php
Signing cert: 1024-bit RSA (weak — expected finding)
lab-saml.yaml:
  assessment:
    name: "Chaos Lab - SAML Scan"
    report_owner: "Security Team"
    data_classification: "CONFIDENTIAL"
    timezone: "UTC"
  targets:
    include_ips: []
  scan:
    ports_tls: []
    timeout_seconds: 15
    concurrency: 1
    include_sni: false
  output:
    directory: "./quirk-output-saml"
    db_path: "./quirk-output-saml/quirk.db"
  connectors:
    enable_aws: false
    enable_azure: false
    enable_saml: true
    saml_targets:
      - "http://localhost:8080/simplesaml/saml2/idp/metadata.php"</t>
        </is>
      </c>
      <c r="H82" s="20" t="inlineStr">
        <is>
          <t>simplesamlphp shows 'Up'.
curl returns XML containing &lt;md:KeyDescriptor use="signing"&gt;.
QUIRK scan: findings.json contains at least one SAML protocol entry with cert_pubkey_size=1024.
Integration test: passes with cert_pubkey_size=1024 present. No test failures.</t>
        </is>
      </c>
      <c r="I82" s="20" t="n"/>
      <c r="J82" s="19" t="inlineStr">
        <is>
          <t>Pending</t>
        </is>
      </c>
      <c r="K82" s="19" t="inlineStr">
        <is>
          <t>Medium</t>
        </is>
      </c>
      <c r="L82" s="19" t="n"/>
      <c r="M82" s="19" t="n"/>
      <c r="N82" s="19" t="n"/>
      <c r="O82" s="20" t="inlineStr">
        <is>
          <t>REVISED 2026-04-15: (1) Step 2 grep command had Excel escaped-quote artifact: use=""signing"" should be use="signing". (2) Added QUIRK CLI config (lab-saml.yaml) with enable_saml + saml_targets — original had no QUIRK CLI step. (3) Config keys: enable_saml + saml_targets.</t>
        </is>
      </c>
    </row>
    <row r="83" ht="60" customHeight="1" s="25">
      <c r="A83" s="17" t="inlineStr">
        <is>
          <t>UAT-5-22</t>
        </is>
      </c>
      <c r="B83" s="17" t="inlineStr">
        <is>
          <t>S05</t>
        </is>
      </c>
      <c r="C83" s="18" t="inlineStr">
        <is>
          <t>Lab Environment - Extended</t>
        </is>
      </c>
      <c r="D83" s="18" t="inlineStr">
        <is>
          <t>Kerberos Profile — Chaos Lab Samba DC</t>
        </is>
      </c>
      <c r="E83" s="18" t="inlineStr">
        <is>
          <t>Prereqs: impacket + pyasn1 installed:
  pip install "quirk[identity]"   (or: pip install impacket pyasn1)
Docker available.
Start Kerberos profile (Samba DC needs ~90s to provision):
  cd quantum-chaos-enterprise-lab
  docker compose --profile kerberos up -d
  until docker compose --profile kerberos ps | grep samba-dc | grep -q healthy; do
    echo 'Waiting for Samba DC...'; sleep 10
  done</t>
        </is>
      </c>
      <c r="F83" s="18" t="inlineStr">
        <is>
          <t>1. Get the actual container name (CORRECTED — original had placeholder '...samba-dc-1'):
   docker compose --profile kerberos ps
   Note the full name, typically: quantum-chaos-enterprise-lab-samba-dc-1
2. Verify Samba DC realm (substitute actual container name):
   docker exec quantum-chaos-enterprise-lab-samba-dc-1 smbclient -L localhost -N 2&gt;/dev/null | grep QUIRK
   Expected: output containing QUIRK (the Kerberos realm name)
3. Create lab-kerberos.yaml (see Test Data for full YAML).
4. Run QUIRK scan:
   quirk --config lab-kerberos.yaml
5. Check Kerberos findings:
   cat quirk-output-kerberos/findings.json | python3 -m json.tool | grep -E '"protocol"|"cert_pubkey_alg"'
6. Run integration test:
   QUIRK_KERBEROS_INTEGRATION=1 pytest tests/test_kerberos_scanner.py -k 'samba_dc_integration' -v
7. Teardown: docker compose --profile kerberos down</t>
        </is>
      </c>
      <c r="G83" s="18" t="inlineStr">
        <is>
          <t>Samba DC port: 88 (Kerberos) | realm: QUIRK
Container name: quantum-chaos-enterprise-lab-samba-dc-1 (verify with docker compose ps)
lab-kerberos.yaml:
  assessment:
    name: "Chaos Lab - Kerberos Scan"
    report_owner: "Security Team"
    data_classification: "CONFIDENTIAL"
    timezone: "UTC"
  targets:
    include_ips: []
  scan:
    ports_tls: []
    timeout_seconds: 15
    concurrency: 1
    include_sni: false
  output:
    directory: "./quirk-output-kerberos"
    db_path: "./quirk-output-kerberos/quirk.db"
  connectors:
    enable_aws: false
    enable_azure: false
    enable_kerberos: true
    kerberos_targets:
      - "127.0.0.1"</t>
        </is>
      </c>
      <c r="H83" s="18" t="inlineStr">
        <is>
          <t>samba-dc shows 'Up (healthy)' in docker compose ps.
smbclient returns output containing QUIRK.
QUIRK scan: findings.json contains KERBEROS protocol entries with rc4-hmac in etype names, port=88.
Integration test: passes with at least one CryptoEndpoint, rc4-hmac present, valid kerberos_scan_json with realm/etypes/ldap_status. No test failures.</t>
        </is>
      </c>
      <c r="I83" s="18" t="n"/>
      <c r="J83" s="17" t="inlineStr">
        <is>
          <t>Pending</t>
        </is>
      </c>
      <c r="K83" s="17" t="inlineStr">
        <is>
          <t>Medium</t>
        </is>
      </c>
      <c r="L83" s="17" t="n"/>
      <c r="M83" s="17" t="n"/>
      <c r="N83" s="17" t="n"/>
      <c r="O83" s="18" t="inlineStr">
        <is>
          <t>REVISED 2026-04-15: (1) Resolved '...samba-dc-1' placeholder — actual name is quantum-chaos-enterprise-lab-samba-dc-1 (verify with docker compose ps). (2) Added QUIRK CLI config (lab-kerberos.yaml) with enable_kerberos + kerberos_targets. (3) Replaced flat sleep 90 with health-polling wait loop.</t>
        </is>
      </c>
    </row>
    <row r="84" ht="60" customHeight="1" s="25">
      <c r="A84" s="19" t="inlineStr">
        <is>
          <t>UAT-7-02</t>
        </is>
      </c>
      <c r="B84" s="19" t="inlineStr">
        <is>
          <t>S07</t>
        </is>
      </c>
      <c r="C84" s="20" t="inlineStr">
        <is>
          <t>Web Dashboard UI</t>
        </is>
      </c>
      <c r="D84" s="20" t="inlineStr">
        <is>
          <t>Dashboard — Favicon</t>
        </is>
      </c>
      <c r="E84" s="20" t="inlineStr">
        <is>
          <t>Dashboard running.</t>
        </is>
      </c>
      <c r="F84" s="20" t="inlineStr">
        <is>
          <t>1. Check browser tab
2. curl -s http://127.0.0.1:8512 | grep favicon</t>
        </is>
      </c>
      <c r="G84" s="20" t="inlineStr">
        <is>
          <t>URL: http://127.0.0.1:8512</t>
        </is>
      </c>
      <c r="H84" s="20" t="inlineStr">
        <is>
          <t>Favicon appears in browser tab (not browser default). Page title is 'QU.I.R.K.' or similar branded title.</t>
        </is>
      </c>
      <c r="I84" s="20" t="n"/>
      <c r="J84" s="19" t="inlineStr">
        <is>
          <t>Pending</t>
        </is>
      </c>
      <c r="K84" s="19" t="inlineStr">
        <is>
          <t>Medium</t>
        </is>
      </c>
      <c r="L84" s="19" t="n"/>
      <c r="M84" s="19" t="n"/>
      <c r="N84" s="19" t="n"/>
      <c r="O84" s="20" t="n"/>
    </row>
    <row r="85" ht="60" customHeight="1" s="25">
      <c r="A85" s="19" t="inlineStr">
        <is>
          <t>UAT-7-04</t>
        </is>
      </c>
      <c r="B85" s="19" t="inlineStr">
        <is>
          <t>S07</t>
        </is>
      </c>
      <c r="C85" s="20" t="inlineStr">
        <is>
          <t>Web Dashboard UI</t>
        </is>
      </c>
      <c r="D85" s="20" t="inlineStr">
        <is>
          <t>Executive Page — Severity Chart</t>
        </is>
      </c>
      <c r="E85" s="20" t="inlineStr">
        <is>
          <t>Dashboard running with scan data.</t>
        </is>
      </c>
      <c r="F85" s="20" t="inlineStr">
        <is>
          <t>1. On Executive page, locate severity distribution chart</t>
        </is>
      </c>
      <c r="G85" s="20" t="inlineStr">
        <is>
          <t>URL: /executive</t>
        </is>
      </c>
      <c r="H85" s="20" t="inlineStr">
        <is>
          <t>Chart renders with at least 2 severity levels. Severity counts match findings in findings-*.json. Chart is interactive (hover shows count).</t>
        </is>
      </c>
      <c r="I85" s="20" t="n"/>
      <c r="J85" s="19" t="inlineStr">
        <is>
          <t>Pending</t>
        </is>
      </c>
      <c r="K85" s="19" t="inlineStr">
        <is>
          <t>Medium</t>
        </is>
      </c>
      <c r="L85" s="19" t="n"/>
      <c r="M85" s="19" t="n"/>
      <c r="N85" s="19" t="n"/>
      <c r="O85" s="20" t="n"/>
    </row>
    <row r="86" ht="60" customHeight="1" s="25">
      <c r="A86" s="17" t="inlineStr">
        <is>
          <t>UAT-7-05</t>
        </is>
      </c>
      <c r="B86" s="17" t="inlineStr">
        <is>
          <t>S07</t>
        </is>
      </c>
      <c r="C86" s="18" t="inlineStr">
        <is>
          <t>Web Dashboard UI</t>
        </is>
      </c>
      <c r="D86" s="18" t="inlineStr">
        <is>
          <t>Executive Page — Score Driver Cards</t>
        </is>
      </c>
      <c r="E86" s="18" t="inlineStr">
        <is>
          <t>Dashboard running.</t>
        </is>
      </c>
      <c r="F86" s="18" t="inlineStr">
        <is>
          <t>1. On Executive page, scroll to driver cards section</t>
        </is>
      </c>
      <c r="G86" s="18" t="inlineStr">
        <is>
          <t>URL: /executive</t>
        </is>
      </c>
      <c r="H86" s="18" t="inlineStr">
        <is>
          <t>All 4 subscores visible (each out of 25 pts): Hygiene, Modern TLS, Identity Trust, Agility Signals. Each card shows subscore value and brief description. Cards total &lt;= 100.</t>
        </is>
      </c>
      <c r="I86" s="18" t="n"/>
      <c r="J86" s="17" t="inlineStr">
        <is>
          <t>Pending</t>
        </is>
      </c>
      <c r="K86" s="17" t="inlineStr">
        <is>
          <t>Medium</t>
        </is>
      </c>
      <c r="L86" s="17" t="n"/>
      <c r="M86" s="17" t="n"/>
      <c r="N86" s="17" t="n"/>
      <c r="O86" s="18" t="n"/>
    </row>
    <row r="87" ht="60" customHeight="1" s="25">
      <c r="A87" s="17" t="inlineStr">
        <is>
          <t>UAT-7-07</t>
        </is>
      </c>
      <c r="B87" s="17" t="inlineStr">
        <is>
          <t>S07</t>
        </is>
      </c>
      <c r="C87" s="18" t="inlineStr">
        <is>
          <t>Web Dashboard UI</t>
        </is>
      </c>
      <c r="D87" s="18" t="inlineStr">
        <is>
          <t>Findings Page — Sorting</t>
        </is>
      </c>
      <c r="E87" s="18" t="inlineStr">
        <is>
          <t>Dashboard running with scan data.</t>
        </is>
      </c>
      <c r="F87" s="18" t="inlineStr">
        <is>
          <t>1. On Findings page, click Severity column header
2. Observe sort order change
3. Click again to reverse sort</t>
        </is>
      </c>
      <c r="G87" s="18" t="inlineStr">
        <is>
          <t>URL: /findings</t>
        </is>
      </c>
      <c r="H87" s="18" t="inlineStr">
        <is>
          <t>First click: sorted ascending (INFO to CRITICAL). Second click: sorted descending (CRITICAL to INFO). Sort indicator (arrow) visible on column header.</t>
        </is>
      </c>
      <c r="I87" s="18" t="n"/>
      <c r="J87" s="17" t="inlineStr">
        <is>
          <t>Pending</t>
        </is>
      </c>
      <c r="K87" s="17" t="inlineStr">
        <is>
          <t>Medium</t>
        </is>
      </c>
      <c r="L87" s="17" t="n"/>
      <c r="M87" s="17" t="n"/>
      <c r="N87" s="17" t="n"/>
      <c r="O87" s="18" t="n"/>
    </row>
    <row r="88" ht="60" customHeight="1" s="25">
      <c r="A88" s="19" t="inlineStr">
        <is>
          <t>UAT-7-08</t>
        </is>
      </c>
      <c r="B88" s="19" t="inlineStr">
        <is>
          <t>S07</t>
        </is>
      </c>
      <c r="C88" s="20" t="inlineStr">
        <is>
          <t>Web Dashboard UI</t>
        </is>
      </c>
      <c r="D88" s="20" t="inlineStr">
        <is>
          <t>Findings Page — Filtering</t>
        </is>
      </c>
      <c r="E88" s="20" t="inlineStr">
        <is>
          <t>Dashboard running.</t>
        </is>
      </c>
      <c r="F88" s="20" t="inlineStr">
        <is>
          <t>1. On Findings page, locate filter/search input
2. Type 'CRITICAL' in filter
3. Observe table rows</t>
        </is>
      </c>
      <c r="G88" s="20" t="inlineStr">
        <is>
          <t>Filter: 'CRITICAL'</t>
        </is>
      </c>
      <c r="H88" s="20" t="inlineStr">
        <is>
          <t>Only rows with CRITICAL severity shown. Row count decreases when filter applied. Clearing filter restores all rows.</t>
        </is>
      </c>
      <c r="I88" s="20" t="n"/>
      <c r="J88" s="19" t="inlineStr">
        <is>
          <t>Pending</t>
        </is>
      </c>
      <c r="K88" s="19" t="inlineStr">
        <is>
          <t>Medium</t>
        </is>
      </c>
      <c r="L88" s="19" t="n"/>
      <c r="M88" s="19" t="n"/>
      <c r="N88" s="19" t="n"/>
      <c r="O88" s="20" t="n"/>
    </row>
    <row r="89" ht="60" customHeight="1" s="25">
      <c r="A89" s="17" t="inlineStr">
        <is>
          <t>UAT-7-09</t>
        </is>
      </c>
      <c r="B89" s="17" t="inlineStr">
        <is>
          <t>S07</t>
        </is>
      </c>
      <c r="C89" s="18" t="inlineStr">
        <is>
          <t>Web Dashboard UI</t>
        </is>
      </c>
      <c r="D89" s="18" t="inlineStr">
        <is>
          <t>Findings Page — Detail Slide-out</t>
        </is>
      </c>
      <c r="E89" s="18" t="inlineStr">
        <is>
          <t>Dashboard running.</t>
        </is>
      </c>
      <c r="F89" s="18" t="inlineStr">
        <is>
          <t>1. On Findings page, click any finding row
2. Observe right-side detail panel/sheet</t>
        </is>
      </c>
      <c r="G89" s="18" t="inlineStr">
        <is>
          <t>URL: /findings</t>
        </is>
      </c>
      <c r="H89" s="18" t="inlineStr">
        <is>
          <t>Detail panel opens on click. Full description visible. Host, port, protocol, severity all shown. Quantum risk assessment visible. Panel closes when clicking outside or X button.</t>
        </is>
      </c>
      <c r="I89" s="18" t="n"/>
      <c r="J89" s="17" t="inlineStr">
        <is>
          <t>Pending</t>
        </is>
      </c>
      <c r="K89" s="17" t="inlineStr">
        <is>
          <t>Medium</t>
        </is>
      </c>
      <c r="L89" s="17" t="n"/>
      <c r="M89" s="17" t="n"/>
      <c r="N89" s="17" t="n"/>
      <c r="O89" s="18" t="n"/>
    </row>
    <row r="90" ht="60" customHeight="1" s="25">
      <c r="A90" s="19" t="inlineStr">
        <is>
          <t>UAT-7-10</t>
        </is>
      </c>
      <c r="B90" s="19" t="inlineStr">
        <is>
          <t>S07</t>
        </is>
      </c>
      <c r="C90" s="20" t="inlineStr">
        <is>
          <t>Web Dashboard UI</t>
        </is>
      </c>
      <c r="D90" s="20" t="inlineStr">
        <is>
          <t>Certificates Page — Inventory Table</t>
        </is>
      </c>
      <c r="E90" s="20" t="inlineStr">
        <is>
          <t>Dashboard running with scan data.</t>
        </is>
      </c>
      <c r="F90" s="20" t="inlineStr">
        <is>
          <t>1. Navigate to Certificates page (sidebar link)</t>
        </is>
      </c>
      <c r="G90" s="20" t="inlineStr">
        <is>
          <t>URL: /certificates</t>
        </is>
      </c>
      <c r="H90" s="20" t="inlineStr">
        <is>
          <t>Table renders with at least 1 row (from lab TLS services). Columns: Subject, Issuer, Expiry, Algorithm, Quantum Safety. Expired certificates shown with visual indicator (red date). Self-signed certs flagged.</t>
        </is>
      </c>
      <c r="I90" s="20" t="n"/>
      <c r="J90" s="19" t="inlineStr">
        <is>
          <t>Pending</t>
        </is>
      </c>
      <c r="K90" s="19" t="inlineStr">
        <is>
          <t>Medium</t>
        </is>
      </c>
      <c r="L90" s="19" t="n"/>
      <c r="M90" s="19" t="n"/>
      <c r="N90" s="19" t="n"/>
      <c r="O90" s="20" t="n"/>
    </row>
    <row r="91" ht="60" customHeight="1" s="25">
      <c r="A91" s="17" t="inlineStr">
        <is>
          <t>UAT-7-11</t>
        </is>
      </c>
      <c r="B91" s="17" t="inlineStr">
        <is>
          <t>S07</t>
        </is>
      </c>
      <c r="C91" s="18" t="inlineStr">
        <is>
          <t>Web Dashboard UI</t>
        </is>
      </c>
      <c r="D91" s="18" t="inlineStr">
        <is>
          <t>Certificates Page — Quantum Safety Labels</t>
        </is>
      </c>
      <c r="E91" s="18" t="inlineStr">
        <is>
          <t>Dashboard running.</t>
        </is>
      </c>
      <c r="F91" s="18" t="inlineStr">
        <is>
          <t>1. On Certificates page, look for quantum safety column
2. Check labels for different certificate algorithms</t>
        </is>
      </c>
      <c r="G91" s="18" t="inlineStr">
        <is>
          <t>URL: /certificates</t>
        </is>
      </c>
      <c r="H91" s="18" t="inlineStr">
        <is>
          <t>RSA certificates show 'quantum-vulnerable' badge. ECDSA certificates show 'quantum-vulnerable' badge. Badge colors differentiate safety levels. Badge tooltip or description available.</t>
        </is>
      </c>
      <c r="I91" s="18" t="n"/>
      <c r="J91" s="17" t="inlineStr">
        <is>
          <t>Pending</t>
        </is>
      </c>
      <c r="K91" s="17" t="inlineStr">
        <is>
          <t>Medium</t>
        </is>
      </c>
      <c r="L91" s="17" t="n"/>
      <c r="M91" s="17" t="n"/>
      <c r="N91" s="17" t="n"/>
      <c r="O91" s="18" t="n"/>
    </row>
    <row r="92" ht="60" customHeight="1" s="25">
      <c r="A92" s="19" t="inlineStr">
        <is>
          <t>UAT-7-12</t>
        </is>
      </c>
      <c r="B92" s="19" t="inlineStr">
        <is>
          <t>S07</t>
        </is>
      </c>
      <c r="C92" s="20" t="inlineStr">
        <is>
          <t>Web Dashboard UI</t>
        </is>
      </c>
      <c r="D92" s="20" t="inlineStr">
        <is>
          <t>Certificates Page — Expiry Sorting</t>
        </is>
      </c>
      <c r="E92" s="20" t="inlineStr">
        <is>
          <t>Dashboard running.</t>
        </is>
      </c>
      <c r="F92" s="20" t="inlineStr">
        <is>
          <t>1. On Certificates page, click Expiry column header to sort
2. Verify expired certs appear first (ascending) or last (descending)</t>
        </is>
      </c>
      <c r="G92" s="20" t="inlineStr">
        <is>
          <t>Port 9443 expired cert</t>
        </is>
      </c>
      <c r="H92" s="20" t="inlineStr">
        <is>
          <t>Expired cert (port 9443) appears in correct sort position. Near-expiry certs show days remaining. Date format is human-readable.</t>
        </is>
      </c>
      <c r="I92" s="20" t="n"/>
      <c r="J92" s="19" t="inlineStr">
        <is>
          <t>Pending</t>
        </is>
      </c>
      <c r="K92" s="19" t="inlineStr">
        <is>
          <t>Medium</t>
        </is>
      </c>
      <c r="L92" s="19" t="n"/>
      <c r="M92" s="19" t="n"/>
      <c r="N92" s="19" t="n"/>
      <c r="O92" s="20" t="n"/>
    </row>
    <row r="93" ht="60" customHeight="1" s="25">
      <c r="A93" s="17" t="inlineStr">
        <is>
          <t>UAT-7-13</t>
        </is>
      </c>
      <c r="B93" s="17" t="inlineStr">
        <is>
          <t>S07</t>
        </is>
      </c>
      <c r="C93" s="18" t="inlineStr">
        <is>
          <t>Web Dashboard UI</t>
        </is>
      </c>
      <c r="D93" s="18" t="inlineStr">
        <is>
          <t>CBOM Page — Algorithm Table</t>
        </is>
      </c>
      <c r="E93" s="18" t="inlineStr">
        <is>
          <t>Dashboard running.</t>
        </is>
      </c>
      <c r="F93" s="18" t="inlineStr">
        <is>
          <t>1. Navigate to CBOM page (sidebar link)
2. Select Algorithms tab</t>
        </is>
      </c>
      <c r="G93" s="18" t="inlineStr">
        <is>
          <t>URL: /cbom</t>
        </is>
      </c>
      <c r="H93" s="18" t="inlineStr">
        <is>
          <t>Algorithm names visible (e.g. AES-256-GCM, RSA-2048, Ed25519). Quantum safety badge per algorithm. Primitive type visible. NIST PQC level displayed where available.</t>
        </is>
      </c>
      <c r="I93" s="18" t="n"/>
      <c r="J93" s="17" t="inlineStr">
        <is>
          <t>Pending</t>
        </is>
      </c>
      <c r="K93" s="17" t="inlineStr">
        <is>
          <t>Medium</t>
        </is>
      </c>
      <c r="L93" s="17" t="n"/>
      <c r="M93" s="17" t="n"/>
      <c r="N93" s="17" t="n"/>
      <c r="O93" s="18" t="n"/>
    </row>
    <row r="94" hidden="1" ht="60" customHeight="1" s="25">
      <c r="A94" s="19" t="inlineStr">
        <is>
          <t>UAT-7-18</t>
        </is>
      </c>
      <c r="B94" s="19" t="inlineStr">
        <is>
          <t>S07</t>
        </is>
      </c>
      <c r="C94" s="20" t="inlineStr">
        <is>
          <t>Web Dashboard UI</t>
        </is>
      </c>
      <c r="D94" s="20" t="inlineStr">
        <is>
          <t>PDF Export — API Endpoint Direct Test</t>
        </is>
      </c>
      <c r="E94" s="20" t="inlineStr">
        <is>
          <t>Dashboard running.</t>
        </is>
      </c>
      <c r="F94" s="20" t="inlineStr">
        <is>
          <t>1. curl -X POST http://127.0.0.1:8512/api/export/pdf -o /tmp/test-report.pdf
2. file /tmp/test-report.pdf</t>
        </is>
      </c>
      <c r="G94" s="20" t="inlineStr">
        <is>
          <t>POST /api/export/pdf</t>
        </is>
      </c>
      <c r="H94" s="20" t="inlineStr">
        <is>
          <t>file command reports 'PDF document'. File size &gt; 50KB. HTTP 200 from API endpoint.</t>
        </is>
      </c>
      <c r="I94" s="20" t="n"/>
      <c r="J94" s="19" t="inlineStr">
        <is>
          <t>Pass</t>
        </is>
      </c>
      <c r="K94" s="19" t="inlineStr">
        <is>
          <t>Medium</t>
        </is>
      </c>
      <c r="L94" s="19" t="n"/>
      <c r="M94" s="19" t="inlineStr">
        <is>
          <t>Auto</t>
        </is>
      </c>
      <c r="N94" s="19" t="inlineStr">
        <is>
          <t>2026-04-13</t>
        </is>
      </c>
      <c r="O94" s="20" t="n"/>
    </row>
    <row r="95" hidden="1" ht="60" customHeight="1" s="25">
      <c r="A95" s="17" t="inlineStr">
        <is>
          <t>UAT-7-19</t>
        </is>
      </c>
      <c r="B95" s="17" t="inlineStr">
        <is>
          <t>S07</t>
        </is>
      </c>
      <c r="C95" s="18" t="inlineStr">
        <is>
          <t>Web Dashboard UI</t>
        </is>
      </c>
      <c r="D95" s="18" t="inlineStr">
        <is>
          <t>Dashboard — API Latest Scan Endpoint</t>
        </is>
      </c>
      <c r="E95" s="18" t="inlineStr">
        <is>
          <t>Dashboard running.</t>
        </is>
      </c>
      <c r="F95" s="18" t="inlineStr">
        <is>
          <t>1. curl -s http://127.0.0.1:8512/api/scan/latest | python3 -m json.tool | head -30</t>
        </is>
      </c>
      <c r="G95" s="18" t="inlineStr">
        <is>
          <t>GET /api/scan/latest</t>
        </is>
      </c>
      <c r="H95" s="18" t="inlineStr">
        <is>
          <t>Response includes score, confidence, findings, certificates, cbom, roadmap. findings array is non-empty. score is numeric. Response time &lt; 3 seconds.</t>
        </is>
      </c>
      <c r="I95" s="18" t="n"/>
      <c r="J95" s="17" t="inlineStr">
        <is>
          <t>Pass</t>
        </is>
      </c>
      <c r="K95" s="17" t="inlineStr">
        <is>
          <t>Medium</t>
        </is>
      </c>
      <c r="L95" s="17" t="n"/>
      <c r="M95" s="17" t="inlineStr">
        <is>
          <t>Auto</t>
        </is>
      </c>
      <c r="N95" s="17" t="inlineStr">
        <is>
          <t>2026-04-13</t>
        </is>
      </c>
      <c r="O95" s="18" t="inlineStr">
        <is>
          <t>keys=['meta', 'score', 'confidence', 'findings', 'certificates', 'cbom_components', 'roadmap', 'identity_findings']</t>
        </is>
      </c>
    </row>
    <row r="96" ht="60" customHeight="1" s="25">
      <c r="A96" s="19" t="inlineStr">
        <is>
          <t>UAT-7-14</t>
        </is>
      </c>
      <c r="B96" s="19" t="inlineStr">
        <is>
          <t>S07</t>
        </is>
      </c>
      <c r="C96" s="20" t="inlineStr">
        <is>
          <t>Web Dashboard UI</t>
        </is>
      </c>
      <c r="D96" s="20" t="inlineStr">
        <is>
          <t>CBOM Page — Graph Visualization</t>
        </is>
      </c>
      <c r="E96" s="20" t="inlineStr">
        <is>
          <t>Dashboard running.</t>
        </is>
      </c>
      <c r="F96" s="20" t="inlineStr">
        <is>
          <t>1. On CBOM page, select Graph tab
2. Observe Cytoscape.js force-directed graph
3. Drag nodes, zoom in/out</t>
        </is>
      </c>
      <c r="G96" s="20" t="inlineStr">
        <is>
          <t>URL: /cbom</t>
        </is>
      </c>
      <c r="H96" s="20" t="inlineStr">
        <is>
          <t>Graph renders with visible nodes and edges. Nodes draggable. Scroll-to-zoom works. Clicking a node shows details panel. At least 3 connected nodes visible.</t>
        </is>
      </c>
      <c r="I96" s="20" t="n"/>
      <c r="J96" s="19" t="inlineStr">
        <is>
          <t>Pending</t>
        </is>
      </c>
      <c r="K96" s="19" t="inlineStr">
        <is>
          <t>Medium</t>
        </is>
      </c>
      <c r="L96" s="19" t="n"/>
      <c r="M96" s="19" t="n"/>
      <c r="N96" s="19" t="n"/>
      <c r="O96" s="20" t="n"/>
    </row>
    <row r="97" ht="60" customHeight="1" s="25">
      <c r="A97" s="17" t="inlineStr">
        <is>
          <t>UAT-7-15</t>
        </is>
      </c>
      <c r="B97" s="17" t="inlineStr">
        <is>
          <t>S07</t>
        </is>
      </c>
      <c r="C97" s="18" t="inlineStr">
        <is>
          <t>Web Dashboard UI</t>
        </is>
      </c>
      <c r="D97" s="18" t="inlineStr">
        <is>
          <t>Roadmap Page — DAG Visualization</t>
        </is>
      </c>
      <c r="E97" s="18" t="inlineStr">
        <is>
          <t>Dashboard running.</t>
        </is>
      </c>
      <c r="F97" s="18" t="inlineStr">
        <is>
          <t>1. Navigate to Roadmap page (sidebar link)
2. Observe directed acyclic graph</t>
        </is>
      </c>
      <c r="G97" s="18" t="inlineStr">
        <is>
          <t>URL: /roadmap</t>
        </is>
      </c>
      <c r="H97" s="18" t="inlineStr">
        <is>
          <t>Graph renders with colored nodes (red=NOW, yellow=NEXT, green=LATER). Nodes labeled with roadmap item titles. Clicking a node shows detail panel with Why: text. Dependencies shown as directed edges.</t>
        </is>
      </c>
      <c r="I97" s="18" t="n"/>
      <c r="J97" s="17" t="inlineStr">
        <is>
          <t>Pending</t>
        </is>
      </c>
      <c r="K97" s="17" t="inlineStr">
        <is>
          <t>Medium</t>
        </is>
      </c>
      <c r="L97" s="17" t="n"/>
      <c r="M97" s="17" t="n"/>
      <c r="N97" s="17" t="n"/>
      <c r="O97" s="18" t="n"/>
    </row>
    <row r="98" ht="60" customHeight="1" s="25">
      <c r="A98" s="19" t="inlineStr">
        <is>
          <t>UAT-7-16</t>
        </is>
      </c>
      <c r="B98" s="19" t="inlineStr">
        <is>
          <t>S07</t>
        </is>
      </c>
      <c r="C98" s="20" t="inlineStr">
        <is>
          <t>Web Dashboard UI</t>
        </is>
      </c>
      <c r="D98" s="20" t="inlineStr">
        <is>
          <t>Roadmap Page — Node Detail Panel</t>
        </is>
      </c>
      <c r="E98" s="20" t="inlineStr">
        <is>
          <t>Dashboard running.</t>
        </is>
      </c>
      <c r="F98" s="20" t="inlineStr">
        <is>
          <t>1. On Roadmap page, click any node</t>
        </is>
      </c>
      <c r="G98" s="20" t="inlineStr">
        <is>
          <t>URL: /roadmap</t>
        </is>
      </c>
      <c r="H98" s="20" t="inlineStr">
        <is>
          <t>Item title visible. Timeframe visible (e.g. 0-30 days). Why: evidence text visible. Owner placeholder shown. Dependency list shown (if any).</t>
        </is>
      </c>
      <c r="I98" s="20" t="n"/>
      <c r="J98" s="19" t="inlineStr">
        <is>
          <t>Pending</t>
        </is>
      </c>
      <c r="K98" s="19" t="inlineStr">
        <is>
          <t>Medium</t>
        </is>
      </c>
      <c r="L98" s="19" t="n"/>
      <c r="M98" s="19" t="n"/>
      <c r="N98" s="19" t="n"/>
      <c r="O98" s="20" t="n"/>
    </row>
    <row r="99" ht="60" customHeight="1" s="25">
      <c r="A99" s="19" t="inlineStr">
        <is>
          <t>UAT-7-20</t>
        </is>
      </c>
      <c r="B99" s="19" t="inlineStr">
        <is>
          <t>S07</t>
        </is>
      </c>
      <c r="C99" s="20" t="inlineStr">
        <is>
          <t>Web Dashboard UI</t>
        </is>
      </c>
      <c r="D99" s="20" t="inlineStr">
        <is>
          <t>Dashboard — SPA Routing</t>
        </is>
      </c>
      <c r="E99" s="20" t="inlineStr">
        <is>
          <t>Dashboard running.</t>
        </is>
      </c>
      <c r="F99" s="20" t="inlineStr">
        <is>
          <t>1. Navigate to http://127.0.0.1:8512/findings directly (not via sidebar)
2. Observe page load</t>
        </is>
      </c>
      <c r="G99" s="20" t="inlineStr">
        <is>
          <t>URL: http://127.0.0.1:8512/findings</t>
        </is>
      </c>
      <c r="H99" s="20" t="inlineStr">
        <is>
          <t>Page renders correctly (not 404). Same content as navigating via sidebar. URL stays at /findings.</t>
        </is>
      </c>
      <c r="I99" s="20" t="n"/>
      <c r="J99" s="19" t="inlineStr">
        <is>
          <t>Pending</t>
        </is>
      </c>
      <c r="K99" s="19" t="inlineStr">
        <is>
          <t>Medium</t>
        </is>
      </c>
      <c r="L99" s="19" t="n"/>
      <c r="M99" s="19" t="n"/>
      <c r="N99" s="19" t="n"/>
      <c r="O99" s="20" t="n"/>
    </row>
    <row r="100" ht="60" customHeight="1" s="25">
      <c r="A100" s="17" t="inlineStr">
        <is>
          <t>UAT-7-21</t>
        </is>
      </c>
      <c r="B100" s="17" t="inlineStr">
        <is>
          <t>S07</t>
        </is>
      </c>
      <c r="C100" s="18" t="inlineStr">
        <is>
          <t>Web Dashboard UI</t>
        </is>
      </c>
      <c r="D100" s="18" t="inlineStr">
        <is>
          <t>Dashboard Theme — No Hardcoded Colors</t>
        </is>
      </c>
      <c r="E100" s="18" t="inlineStr">
        <is>
          <t>Dashboard running.</t>
        </is>
      </c>
      <c r="F100" s="18" t="inlineStr">
        <is>
          <t>1. Open browser DevTools → Elements
2. Select several UI components (buttons, badges, cards)
3. Check computed styles for hardcoded hex/rgb colors</t>
        </is>
      </c>
      <c r="G100" s="18" t="inlineStr">
        <is>
          <t>DevTools: Elements panel</t>
        </is>
      </c>
      <c r="H100" s="18" t="inlineStr">
        <is>
          <t>Primary interactive elements use var(--color-*) or equivalent CSS tokens. No hardcoded #hex colors in inline styles on major components. Electric-blue (#00D8FF or token equivalent) used for accents. Dark background consistent.</t>
        </is>
      </c>
      <c r="I100" s="18" t="n"/>
      <c r="J100" s="17" t="inlineStr">
        <is>
          <t>Pending</t>
        </is>
      </c>
      <c r="K100" s="17" t="inlineStr">
        <is>
          <t>Medium</t>
        </is>
      </c>
      <c r="L100" s="17" t="n"/>
      <c r="M100" s="17" t="n"/>
      <c r="N100" s="17" t="n"/>
      <c r="O100" s="18" t="n"/>
    </row>
    <row r="101" ht="60" customHeight="1" s="25">
      <c r="A101" s="19" t="inlineStr">
        <is>
          <t>UAT-7-22</t>
        </is>
      </c>
      <c r="B101" s="19" t="inlineStr">
        <is>
          <t>S07</t>
        </is>
      </c>
      <c r="C101" s="20" t="inlineStr">
        <is>
          <t>Web Dashboard UI</t>
        </is>
      </c>
      <c r="D101" s="20" t="inlineStr">
        <is>
          <t>Dark/Light Theme Toggle</t>
        </is>
      </c>
      <c r="E101" s="20" t="inlineStr">
        <is>
          <t>Dashboard running.</t>
        </is>
      </c>
      <c r="F101" s="20" t="inlineStr">
        <is>
          <t>1. Open http://127.0.0.1:8512
2. Locate dark/light mode toggle at bottom of sidebar
3. Click toggle to switch dark to light
4. Observe all page elements change to light theme
5. Refresh (F5)
6. Check light mode persists
7. DevTools → Application → Local Storage → check 'quirk-ui-theme' key
8. Toggle again to return to dark</t>
        </is>
      </c>
      <c r="G101" s="20" t="inlineStr">
        <is>
          <t>localStorage key: quirk-ui-theme</t>
        </is>
      </c>
      <c r="H101" s="20" t="inlineStr">
        <is>
          <t>Theme toggles instantly. All elements update (sidebar, cards, charts, tables, badges). localStorage key quirk-ui-theme stores 'light' or 'dark'. Theme persists after full reload. Both themes are visually coherent.</t>
        </is>
      </c>
      <c r="I101" s="20" t="n"/>
      <c r="J101" s="19" t="inlineStr">
        <is>
          <t>Pending</t>
        </is>
      </c>
      <c r="K101" s="19" t="inlineStr">
        <is>
          <t>Medium</t>
        </is>
      </c>
      <c r="L101" s="19" t="n"/>
      <c r="M101" s="19" t="n"/>
      <c r="N101" s="19" t="n"/>
      <c r="O101" s="20" t="n"/>
    </row>
    <row r="102" ht="60" customHeight="1" s="25">
      <c r="A102" s="17" t="inlineStr">
        <is>
          <t>UAT-7-23</t>
        </is>
      </c>
      <c r="B102" s="17" t="inlineStr">
        <is>
          <t>S07</t>
        </is>
      </c>
      <c r="C102" s="18" t="inlineStr">
        <is>
          <t>Web Dashboard UI</t>
        </is>
      </c>
      <c r="D102" s="18" t="inlineStr">
        <is>
          <t>Sidebar Responsive Collapse</t>
        </is>
      </c>
      <c r="E102" s="18" t="inlineStr">
        <is>
          <t>Dashboard running.</t>
        </is>
      </c>
      <c r="F102" s="18" t="inlineStr">
        <is>
          <t>1. Open at full desktop width (&gt;= 1024px)
2. Confirm sidebar shows 240px with labels and wordmark
3. Resize below 1024px
4. Verify sidebar collapses to 48px icon-only
5. Verify wordmark changes to 'Q' monogram
6. Click each nav icon
7. Hover over nav icon for tooltip
8. Resize back above 1024px</t>
        </is>
      </c>
      <c r="G102" s="18" t="inlineStr">
        <is>
          <t>Breakpoint: 1024px</t>
        </is>
      </c>
      <c r="H102" s="18" t="inlineStr">
        <is>
          <t>Above 1024px: sidebar 240px with full text labels. Below 1024px: collapses to 48px icon-only. Wordmark becomes monogram. Navigation works in collapsed state. Tooltips on hover. Transition is smooth.</t>
        </is>
      </c>
      <c r="I102" s="18" t="n"/>
      <c r="J102" s="17" t="inlineStr">
        <is>
          <t>Pending</t>
        </is>
      </c>
      <c r="K102" s="17" t="inlineStr">
        <is>
          <t>Medium</t>
        </is>
      </c>
      <c r="L102" s="17" t="n"/>
      <c r="M102" s="17" t="n"/>
      <c r="N102" s="17" t="n"/>
      <c r="O102" s="18" t="n"/>
    </row>
    <row r="103" ht="60" customHeight="1" s="25">
      <c r="A103" s="19" t="inlineStr">
        <is>
          <t>UAT-7-24</t>
        </is>
      </c>
      <c r="B103" s="19" t="inlineStr">
        <is>
          <t>S07</t>
        </is>
      </c>
      <c r="C103" s="20" t="inlineStr">
        <is>
          <t>Web Dashboard UI</t>
        </is>
      </c>
      <c r="D103" s="20" t="inlineStr">
        <is>
          <t>Findings Page — Pagination</t>
        </is>
      </c>
      <c r="E103" s="20" t="inlineStr">
        <is>
          <t>Scan producing more than 25 findings (full lab scan should produce 30+).</t>
        </is>
      </c>
      <c r="F103" s="20" t="inlineStr">
        <is>
          <t>1. Navigate to Findings page
2. Count visible rows
3. Locate pagination controls at bottom
4. Click 'Next page'
5. Observe new rows
6. Click 'Previous page'
7. Verify original rows return</t>
        </is>
      </c>
      <c r="G103" s="20" t="inlineStr">
        <is>
          <t>URL: /findings | rows per page: 25</t>
        </is>
      </c>
      <c r="H103" s="20" t="inlineStr">
        <is>
          <t>First page shows exactly 25 rows (or fewer if total &lt; 25). Pagination controls visible. Page 2 shows remaining findings. Row count indicator shows 'Showing X-Y of Z findings'. Filters respect pagination.</t>
        </is>
      </c>
      <c r="I103" s="20" t="n"/>
      <c r="J103" s="19" t="inlineStr">
        <is>
          <t>Pending</t>
        </is>
      </c>
      <c r="K103" s="19" t="inlineStr">
        <is>
          <t>Medium</t>
        </is>
      </c>
      <c r="L103" s="19" t="n"/>
      <c r="M103" s="19" t="n"/>
      <c r="N103" s="19" t="n"/>
      <c r="O103" s="20" t="n"/>
    </row>
    <row r="104" ht="60" customHeight="1" s="25">
      <c r="A104" s="17" t="inlineStr">
        <is>
          <t>UAT-7-25</t>
        </is>
      </c>
      <c r="B104" s="17" t="inlineStr">
        <is>
          <t>S07</t>
        </is>
      </c>
      <c r="C104" s="18" t="inlineStr">
        <is>
          <t>Web Dashboard UI</t>
        </is>
      </c>
      <c r="D104" s="18" t="inlineStr">
        <is>
          <t>CBOM Page — Algorithm Search</t>
        </is>
      </c>
      <c r="E104" s="18" t="inlineStr">
        <is>
          <t>Dashboard running.</t>
        </is>
      </c>
      <c r="F104" s="18" t="inlineStr">
        <is>
          <t>1. Navigate to CBOM page → Table tab
2. Note total row count
3. Type 'AES' in algorithm search box
4. Observe table filtering
5. Clear search box</t>
        </is>
      </c>
      <c r="G104" s="18" t="inlineStr">
        <is>
          <t>Search term: 'AES'</t>
        </is>
      </c>
      <c r="H104" s="18" t="inlineStr">
        <is>
          <t>Typing filters rows to only those containing search term. Filter is case-insensitive (aes matches AES-256-GCM). Clearing restores full table. No results shows empty state (not a crash).</t>
        </is>
      </c>
      <c r="I104" s="18" t="n"/>
      <c r="J104" s="17" t="inlineStr">
        <is>
          <t>Pending</t>
        </is>
      </c>
      <c r="K104" s="17" t="inlineStr">
        <is>
          <t>Medium</t>
        </is>
      </c>
      <c r="L104" s="17" t="n"/>
      <c r="M104" s="17" t="n"/>
      <c r="N104" s="17" t="n"/>
      <c r="O104" s="18" t="n"/>
    </row>
    <row r="105" ht="60" customHeight="1" s="25">
      <c r="A105" s="19" t="inlineStr">
        <is>
          <t>UAT-7-26</t>
        </is>
      </c>
      <c r="B105" s="19" t="inlineStr">
        <is>
          <t>S07</t>
        </is>
      </c>
      <c r="C105" s="20" t="inlineStr">
        <is>
          <t>Web Dashboard UI</t>
        </is>
      </c>
      <c r="D105" s="20" t="inlineStr">
        <is>
          <t>CBOM Page — Quantum Safety Filter</t>
        </is>
      </c>
      <c r="E105" s="20" t="inlineStr">
        <is>
          <t>Dashboard running.</t>
        </is>
      </c>
      <c r="F105" s="20" t="inlineStr">
        <is>
          <t>1. Navigate to CBOM page → Table tab
2. Locate Quantum Safety dropdown filter
3. Select 'Vulnerable'
4. Select 'Safe'
5. Clear filter</t>
        </is>
      </c>
      <c r="G105" s="20" t="inlineStr">
        <is>
          <t>URL: /cbom</t>
        </is>
      </c>
      <c r="H105" s="20" t="inlineStr">
        <is>
          <t>Selecting 'Vulnerable' shows only red-badged algorithms (RSA, ECDSA, etc.). Selecting 'Safe' shows only green-badged. Clearing restores all rows. Filter and search combine correctly.</t>
        </is>
      </c>
      <c r="I105" s="20" t="n"/>
      <c r="J105" s="19" t="inlineStr">
        <is>
          <t>Pending</t>
        </is>
      </c>
      <c r="K105" s="19" t="inlineStr">
        <is>
          <t>Medium</t>
        </is>
      </c>
      <c r="L105" s="19" t="n"/>
      <c r="M105" s="19" t="n"/>
      <c r="N105" s="19" t="n"/>
      <c r="O105" s="20" t="n"/>
    </row>
    <row r="106" ht="60" customHeight="1" s="25">
      <c r="A106" s="17" t="inlineStr">
        <is>
          <t>UAT-7-27</t>
        </is>
      </c>
      <c r="B106" s="17" t="inlineStr">
        <is>
          <t>S07</t>
        </is>
      </c>
      <c r="C106" s="18" t="inlineStr">
        <is>
          <t>Web Dashboard UI</t>
        </is>
      </c>
      <c r="D106" s="18" t="inlineStr">
        <is>
          <t>CBOM Graph — Node Interaction</t>
        </is>
      </c>
      <c r="E106" s="18" t="inlineStr">
        <is>
          <t>Dashboard running.</t>
        </is>
      </c>
      <c r="F106" s="18" t="inlineStr">
        <is>
          <t>1. Navigate to CBOM page → Graph tab
2. Click an algorithm node (e.g. AES-256-GCM)
3. Observe detail panel
4. Click a source system node (e.g. 127.0.0.1:443)
5. Observe panel update</t>
        </is>
      </c>
      <c r="G106" s="18" t="inlineStr">
        <is>
          <t>URL: /cbom | Graph tab</t>
        </is>
      </c>
      <c r="H106" s="18" t="inlineStr">
        <is>
          <t>Algorithm node click shows: algorithm name, quantum-safety classification, connected source systems. Source system node click shows: host:port, connected algorithms. Panel updates on each click. Node colors match quantum-safety: green/amber/red.</t>
        </is>
      </c>
      <c r="I106" s="18" t="n"/>
      <c r="J106" s="17" t="inlineStr">
        <is>
          <t>Pending</t>
        </is>
      </c>
      <c r="K106" s="17" t="inlineStr">
        <is>
          <t>Medium</t>
        </is>
      </c>
      <c r="L106" s="17" t="n"/>
      <c r="M106" s="17" t="n"/>
      <c r="N106" s="17" t="n"/>
      <c r="O106" s="18" t="n"/>
    </row>
    <row r="107" ht="60" customHeight="1" s="25">
      <c r="A107" s="19" t="inlineStr">
        <is>
          <t>UAT-7-28</t>
        </is>
      </c>
      <c r="B107" s="19" t="inlineStr">
        <is>
          <t>S07</t>
        </is>
      </c>
      <c r="C107" s="20" t="inlineStr">
        <is>
          <t>Web Dashboard UI</t>
        </is>
      </c>
      <c r="D107" s="20" t="inlineStr">
        <is>
          <t>CBOM Graph — Zoom Controls</t>
        </is>
      </c>
      <c r="E107" s="20" t="inlineStr">
        <is>
          <t>Dashboard running.</t>
        </is>
      </c>
      <c r="F107" s="20" t="inlineStr">
        <is>
          <t>1. On CBOM Graph tab, locate zoom controls (In/Out/Fit)
2. Click Zoom In
3. Click Zoom Out
4. Click-drag background to pan
5. Click Fit to Viewport
6. Mouse scroll wheel</t>
        </is>
      </c>
      <c r="G107" s="20" t="inlineStr">
        <is>
          <t>URL: /cbom | Graph tab</t>
        </is>
      </c>
      <c r="H107" s="20" t="inlineStr">
        <is>
          <t>Zoom in/out buttons change zoom level. Fit to Viewport shows all nodes. Mouse scroll wheel zooms. Click-drag pans the view. No nodes disappear permanently.</t>
        </is>
      </c>
      <c r="I107" s="20" t="n"/>
      <c r="J107" s="19" t="inlineStr">
        <is>
          <t>Pending</t>
        </is>
      </c>
      <c r="K107" s="19" t="inlineStr">
        <is>
          <t>Medium</t>
        </is>
      </c>
      <c r="L107" s="19" t="n"/>
      <c r="M107" s="19" t="n"/>
      <c r="N107" s="19" t="n"/>
      <c r="O107" s="20" t="n"/>
    </row>
    <row r="108" ht="60" customHeight="1" s="25">
      <c r="A108" s="17" t="inlineStr">
        <is>
          <t>UAT-7-29</t>
        </is>
      </c>
      <c r="B108" s="17" t="inlineStr">
        <is>
          <t>S07</t>
        </is>
      </c>
      <c r="C108" s="18" t="inlineStr">
        <is>
          <t>Web Dashboard UI</t>
        </is>
      </c>
      <c r="D108" s="18" t="inlineStr">
        <is>
          <t>Roadmap — Node Drag</t>
        </is>
      </c>
      <c r="E108" s="18" t="inlineStr">
        <is>
          <t>Dashboard running.</t>
        </is>
      </c>
      <c r="F108" s="18" t="inlineStr">
        <is>
          <t>1. Navigate to Roadmap page
2. Click and drag a node to new position
3. Observe edges follow node
4. Release node
5. Verify edges remain connected</t>
        </is>
      </c>
      <c r="G108" s="18" t="inlineStr">
        <is>
          <t>URL: /roadmap</t>
        </is>
      </c>
      <c r="H108" s="18" t="inlineStr">
        <is>
          <t>Node moves smoothly during drag. All connected edges update position in real-time. Node stays in new position. Other nodes not affected. Layout does not reset on release.</t>
        </is>
      </c>
      <c r="I108" s="18" t="n"/>
      <c r="J108" s="17" t="inlineStr">
        <is>
          <t>Pending</t>
        </is>
      </c>
      <c r="K108" s="17" t="inlineStr">
        <is>
          <t>Medium</t>
        </is>
      </c>
      <c r="L108" s="17" t="n"/>
      <c r="M108" s="17" t="n"/>
      <c r="N108" s="17" t="n"/>
      <c r="O108" s="18" t="n"/>
    </row>
    <row r="109" ht="60" customHeight="1" s="25">
      <c r="A109" s="19" t="inlineStr">
        <is>
          <t>UAT-7-30</t>
        </is>
      </c>
      <c r="B109" s="19" t="inlineStr">
        <is>
          <t>S07</t>
        </is>
      </c>
      <c r="C109" s="20" t="inlineStr">
        <is>
          <t>Web Dashboard UI</t>
        </is>
      </c>
      <c r="D109" s="20" t="inlineStr">
        <is>
          <t>Print View</t>
        </is>
      </c>
      <c r="E109" s="20" t="inlineStr">
        <is>
          <t>Dashboard running.</t>
        </is>
      </c>
      <c r="F109" s="20" t="inlineStr">
        <is>
          <t>1. Navigate to http://127.0.0.1:8512/print
2. Observe page layout</t>
        </is>
      </c>
      <c r="G109" s="20" t="inlineStr">
        <is>
          <t>URL: /print</t>
        </is>
      </c>
      <c r="H109" s="20" t="inlineStr">
        <is>
          <t>No sidebar visible. No interactive controls. Full-width single-column layout. CSS page breaks between major sections. Content includes: score summary, findings, certificates, CBOM reference. Background colors render.</t>
        </is>
      </c>
      <c r="I109" s="20" t="n"/>
      <c r="J109" s="19" t="inlineStr">
        <is>
          <t>Pending</t>
        </is>
      </c>
      <c r="K109" s="19" t="inlineStr">
        <is>
          <t>Medium</t>
        </is>
      </c>
      <c r="L109" s="19" t="n"/>
      <c r="M109" s="19" t="n"/>
      <c r="N109" s="19" t="n"/>
      <c r="O109" s="20" t="n"/>
    </row>
    <row r="110" ht="60" customHeight="1" s="25">
      <c r="A110" s="17" t="inlineStr">
        <is>
          <t>UAT-7-31</t>
        </is>
      </c>
      <c r="B110" s="17" t="inlineStr">
        <is>
          <t>S07</t>
        </is>
      </c>
      <c r="C110" s="18" t="inlineStr">
        <is>
          <t>Web Dashboard UI</t>
        </is>
      </c>
      <c r="D110" s="18" t="inlineStr">
        <is>
          <t>Dashboard Page Title and Branding</t>
        </is>
      </c>
      <c r="E110" s="18" t="inlineStr">
        <is>
          <t>Dashboard running.</t>
        </is>
      </c>
      <c r="F110" s="18" t="inlineStr">
        <is>
          <t>1. Open http://127.0.0.1:8512
2. Check browser tab title
3. Check sidebar header for wordmark
4. Check favicon in browser tab</t>
        </is>
      </c>
      <c r="G110" s="18" t="inlineStr">
        <is>
          <t>URL: http://127.0.0.1:8512</t>
        </is>
      </c>
      <c r="H110" s="18" t="inlineStr">
        <is>
          <t>Browser tab shows 'QU.I.R.K. — Quantum Readiness Dashboard' or similar. Sidebar displays bold monospace electric-blue wordmark. Favicon shows electric-blue 'Q'. No JS console errors.</t>
        </is>
      </c>
      <c r="I110" s="18" t="n"/>
      <c r="J110" s="17" t="inlineStr">
        <is>
          <t>Pending</t>
        </is>
      </c>
      <c r="K110" s="17" t="inlineStr">
        <is>
          <t>Medium</t>
        </is>
      </c>
      <c r="L110" s="17" t="n"/>
      <c r="M110" s="17" t="n"/>
      <c r="N110" s="17" t="n"/>
      <c r="O110" s="18" t="n"/>
    </row>
    <row r="111" ht="60" customHeight="1" s="25">
      <c r="A111" s="19" t="inlineStr">
        <is>
          <t>UAT-7-32</t>
        </is>
      </c>
      <c r="B111" s="19" t="inlineStr">
        <is>
          <t>S07</t>
        </is>
      </c>
      <c r="C111" s="20" t="inlineStr">
        <is>
          <t>Web Dashboard UI</t>
        </is>
      </c>
      <c r="D111" s="20" t="inlineStr">
        <is>
          <t>No JavaScript Console Errors — All Pages</t>
        </is>
      </c>
      <c r="E111" s="20" t="inlineStr">
        <is>
          <t>Dashboard running.</t>
        </is>
      </c>
      <c r="F111" s="20" t="inlineStr">
        <is>
          <t>1. Open DevTools (F12) → Console tab, clear console
2. Navigate to /
3. Navigate to /findings
4. Navigate to /identity
5. Navigate to /certificates
6. Navigate to /cbom (Table and Graph tabs)
7. Navigate to /roadmap
8. Navigate to /print</t>
        </is>
      </c>
      <c r="G111" s="20" t="inlineStr">
        <is>
          <t>All pages: /, /findings, /identity, /certificates, /cbom, /roadmap, /print</t>
        </is>
      </c>
      <c r="H111" s="20" t="inlineStr">
        <is>
          <t>Zero red Error entries in console on any page. No unhandled promise rejections. No TypeError or ReferenceError. Warnings acceptable. All API requests return 200. /identity loads without errors even when no identity data.</t>
        </is>
      </c>
      <c r="I111" s="20" t="n"/>
      <c r="J111" s="19" t="inlineStr">
        <is>
          <t>Pending</t>
        </is>
      </c>
      <c r="K111" s="19" t="inlineStr">
        <is>
          <t>Medium</t>
        </is>
      </c>
      <c r="L111" s="19" t="n"/>
      <c r="M111" s="19" t="n"/>
      <c r="N111" s="19" t="n"/>
      <c r="O111" s="20" t="n"/>
    </row>
    <row r="112" ht="60" customHeight="1" s="25">
      <c r="A112" s="17" t="inlineStr">
        <is>
          <t>UAT-7-33</t>
        </is>
      </c>
      <c r="B112" s="17" t="inlineStr">
        <is>
          <t>S07</t>
        </is>
      </c>
      <c r="C112" s="18" t="inlineStr">
        <is>
          <t>Web Dashboard UI</t>
        </is>
      </c>
      <c r="D112" s="18" t="inlineStr">
        <is>
          <t>Identity Page — Navigation and Load</t>
        </is>
      </c>
      <c r="E112" s="18" t="inlineStr">
        <is>
          <t>Dashboard running.</t>
        </is>
      </c>
      <c r="F112" s="18" t="inlineStr">
        <is>
          <t>1. Start dashboard and navigate to http://127.0.0.1:8512
2. Look for 'Identity' item in sidebar (between Findings and Certificates)
3. Click Identity sidebar item
4. Observe page load at /identity
5. Check browser URL confirms /identity route</t>
        </is>
      </c>
      <c r="G112" s="18" t="inlineStr">
        <is>
          <t>URL: /identity</t>
        </is>
      </c>
      <c r="H112" s="18" t="inlineStr">
        <is>
          <t>Sidebar shows 'Identity' nav item with Fingerprint icon. Clicking navigates to /identity via SPA routing. Page title reads 'Identity Protocols'. No 404 or blank screen.</t>
        </is>
      </c>
      <c r="I112" s="18" t="n"/>
      <c r="J112" s="17" t="inlineStr">
        <is>
          <t>Pending</t>
        </is>
      </c>
      <c r="K112" s="17" t="inlineStr">
        <is>
          <t>Medium</t>
        </is>
      </c>
      <c r="L112" s="17" t="n"/>
      <c r="M112" s="17" t="n"/>
      <c r="N112" s="17" t="n"/>
      <c r="O112" s="18" t="n"/>
    </row>
    <row r="113" ht="60" customHeight="1" s="25">
      <c r="A113" s="19" t="inlineStr">
        <is>
          <t>UAT-7-34</t>
        </is>
      </c>
      <c r="B113" s="19" t="inlineStr">
        <is>
          <t>S07</t>
        </is>
      </c>
      <c r="C113" s="20" t="inlineStr">
        <is>
          <t>Web Dashboard UI</t>
        </is>
      </c>
      <c r="D113" s="20" t="inlineStr">
        <is>
          <t>Identity Page — Protocol Summary Cards (No Scan Data)</t>
        </is>
      </c>
      <c r="E113" s="20" t="inlineStr">
        <is>
          <t>Dashboard running. No scan required (tests empty state).</t>
        </is>
      </c>
      <c r="F113" s="20" t="inlineStr">
        <is>
          <t>1. Navigate to http://127.0.0.1:8512/identity
2. Observe three protocol summary cards at top
3. Note status badge on each card</t>
        </is>
      </c>
      <c r="G113" s="20" t="inlineStr">
        <is>
          <t>URL: /identity | empty state</t>
        </is>
      </c>
      <c r="H113" s="20" t="inlineStr">
        <is>
          <t>Three cards visible: Kerberos, SAML/OIDC, DNSSEC. Each shows 'Not Scanned' or neutral status badge (not an error). No JavaScript errors. Cards do not crash when identity_findings array is empty.</t>
        </is>
      </c>
      <c r="I113" s="20" t="n"/>
      <c r="J113" s="19" t="inlineStr">
        <is>
          <t>Pending</t>
        </is>
      </c>
      <c r="K113" s="19" t="inlineStr">
        <is>
          <t>Medium</t>
        </is>
      </c>
      <c r="L113" s="19" t="n"/>
      <c r="M113" s="19" t="n"/>
      <c r="N113" s="19" t="n"/>
      <c r="O113" s="20" t="n"/>
    </row>
    <row r="114" hidden="1" ht="60" customHeight="1" s="25">
      <c r="A114" s="19" t="inlineStr">
        <is>
          <t>UAT-8-01</t>
        </is>
      </c>
      <c r="B114" s="19" t="inlineStr">
        <is>
          <t>S08</t>
        </is>
      </c>
      <c r="C114" s="20" t="inlineStr">
        <is>
          <t>Scoring &amp; Intelligence</t>
        </is>
      </c>
      <c r="D114" s="20" t="inlineStr">
        <is>
          <t>Score Range Validation</t>
        </is>
      </c>
      <c r="E114" s="20" t="inlineStr">
        <is>
          <t>Lab scanned with at least 5 diverse endpoints.</t>
        </is>
      </c>
      <c r="F114" s="20" t="inlineStr">
        <is>
          <t>1. Review output/intelligence-*.json
2. python3 -c "import json; d=json.load(...); print(d['score'], d['score_label'])"</t>
        </is>
      </c>
      <c r="G114" s="20" t="inlineStr">
        <is>
          <t>output/intelligence-*.json</t>
        </is>
      </c>
      <c r="H114" s="20" t="inlineStr">
        <is>
          <t>Score is integer/float 0-100. Label matches: 85-100=EXCELLENT, 70-84=GOOD, 55-69=MODERATE, 35-54=FAIR, 0-34=POOR.</t>
        </is>
      </c>
      <c r="I114" s="20" t="inlineStr">
        <is>
          <t>score=78</t>
        </is>
      </c>
      <c r="J114" s="19" t="inlineStr">
        <is>
          <t>Pass</t>
        </is>
      </c>
      <c r="K114" s="19" t="inlineStr">
        <is>
          <t>Medium</t>
        </is>
      </c>
      <c r="L114" s="19" t="n"/>
      <c r="M114" s="19" t="inlineStr">
        <is>
          <t>Auto</t>
        </is>
      </c>
      <c r="N114" s="19" t="inlineStr">
        <is>
          <t>2026-04-13</t>
        </is>
      </c>
      <c r="O114" s="20" t="n"/>
    </row>
    <row r="115" hidden="1" ht="60" customHeight="1" s="25">
      <c r="A115" s="17" t="inlineStr">
        <is>
          <t>UAT-8-02</t>
        </is>
      </c>
      <c r="B115" s="17" t="inlineStr">
        <is>
          <t>S08</t>
        </is>
      </c>
      <c r="C115" s="18" t="inlineStr">
        <is>
          <t>Scoring &amp; Intelligence</t>
        </is>
      </c>
      <c r="D115" s="18" t="inlineStr">
        <is>
          <t>Confidence Score — Low Coverage Scenario</t>
        </is>
      </c>
      <c r="E115" s="18" t="inlineStr">
        <is>
          <t>Scan with high error rate (many closed ports or timeouts).</t>
        </is>
      </c>
      <c r="F115" s="18" t="inlineStr">
        <is>
          <t>1. Create config targeting mostly unreachable ports
2. Run scan
3. Check confidence in output/intelligence-*.json</t>
        </is>
      </c>
      <c r="G115" s="18" t="inlineStr">
        <is>
          <t>Unreachable targets config</t>
        </is>
      </c>
      <c r="H115" s="18" t="inlineStr">
        <is>
          <t>Confidence is lower than a full lab scan. If scan error rate &gt; 50%, confidence &lt; 60. Confidence score in output JSON.</t>
        </is>
      </c>
      <c r="I115" s="18" t="n"/>
      <c r="J115" s="17" t="inlineStr">
        <is>
          <t>Pass</t>
        </is>
      </c>
      <c r="K115" s="17" t="inlineStr">
        <is>
          <t>Medium</t>
        </is>
      </c>
      <c r="L115" s="17" t="n"/>
      <c r="M115" s="17" t="inlineStr">
        <is>
          <t>Auto</t>
        </is>
      </c>
      <c r="N115" s="17" t="inlineStr">
        <is>
          <t>2026-04-13</t>
        </is>
      </c>
      <c r="O115" s="18" t="n"/>
    </row>
    <row r="116" hidden="1" ht="60" customHeight="1" s="25">
      <c r="A116" s="19" t="inlineStr">
        <is>
          <t>UAT-8-03</t>
        </is>
      </c>
      <c r="B116" s="19" t="inlineStr">
        <is>
          <t>S08</t>
        </is>
      </c>
      <c r="C116" s="20" t="inlineStr">
        <is>
          <t>Scoring &amp; Intelligence</t>
        </is>
      </c>
      <c r="D116" s="20" t="inlineStr">
        <is>
          <t>Score Impact — Adding Plaintext HTTP</t>
        </is>
      </c>
      <c r="E116" s="20" t="inlineStr">
        <is>
          <t>Two scans: one with only TLS, one adding HTTP services.</t>
        </is>
      </c>
      <c r="F116" s="20" t="inlineStr">
        <is>
          <t>1. Scan 1: quirk --config lab-tls-only.yaml (ports 443, 8443); record score
2. Scan 2: quirk --config lab-tls-plus-http.yaml (add 8000, 8444); record score</t>
        </is>
      </c>
      <c r="G116" s="20" t="inlineStr">
        <is>
          <t>Scan 1: ports 443,8443 | Scan 2: add 8000,8444</t>
        </is>
      </c>
      <c r="H116" s="20" t="inlineStr">
        <is>
          <t>score_scan2 &lt; score_scan1. Score difference &gt;= 5 points (HTTP exposure penalized up to 18 pts).</t>
        </is>
      </c>
      <c r="I116" s="20" t="inlineStr">
        <is>
          <t>{'tls_only': 92, 'tls_plus_http': 70}</t>
        </is>
      </c>
      <c r="J116" s="19" t="inlineStr">
        <is>
          <t>Pass</t>
        </is>
      </c>
      <c r="K116" s="19" t="inlineStr">
        <is>
          <t>Medium</t>
        </is>
      </c>
      <c r="L116" s="19" t="n"/>
      <c r="M116" s="19" t="inlineStr">
        <is>
          <t>Auto</t>
        </is>
      </c>
      <c r="N116" s="19" t="inlineStr">
        <is>
          <t>2026-04-13</t>
        </is>
      </c>
      <c r="O116" s="20" t="n"/>
    </row>
    <row r="117" ht="60" customHeight="1" s="25">
      <c r="A117" s="17" t="inlineStr">
        <is>
          <t>UAT-7-35</t>
        </is>
      </c>
      <c r="B117" s="17" t="inlineStr">
        <is>
          <t>S07</t>
        </is>
      </c>
      <c r="C117" s="18" t="inlineStr">
        <is>
          <t>Web Dashboard UI</t>
        </is>
      </c>
      <c r="D117" s="18" t="inlineStr">
        <is>
          <t>Identity Page — Protocol Summary Cards (With Scan Data)</t>
        </is>
      </c>
      <c r="E117" s="18" t="inlineStr">
        <is>
          <t>Full lab scan completed including Kerberos (port 88), SAML (port 8080 SimpleSAMLphp), and DNSSEC chaos lab zones.</t>
        </is>
      </c>
      <c r="F117" s="18" t="inlineStr">
        <is>
          <t>1. Run: python run_scan.py --config labs/quirk-chaos.yaml
2. Navigate to /identity
3. Observe protocol summary cards
4. Check card status badge and finding count
5. Click a finding row in the findings table</t>
        </is>
      </c>
      <c r="G117" s="18" t="inlineStr">
        <is>
          <t>Config: labs/quirk-chaos.yaml</t>
        </is>
      </c>
      <c r="H117" s="18" t="inlineStr">
        <is>
          <t>At least one card shows non-zero finding count. Card status badge reflects highest severity finding. 'Safe' badge shown if no issues. Findings table lists identity findings with Severity/Protocol/Host/Algorithm. Clicking row opens slide-out detail Sheet.</t>
        </is>
      </c>
      <c r="I117" s="18" t="n"/>
      <c r="J117" s="17" t="inlineStr">
        <is>
          <t>Pending</t>
        </is>
      </c>
      <c r="K117" s="17" t="inlineStr">
        <is>
          <t>Medium</t>
        </is>
      </c>
      <c r="L117" s="17" t="n"/>
      <c r="M117" s="17" t="n"/>
      <c r="N117" s="17" t="n"/>
      <c r="O117" s="18" t="n"/>
    </row>
    <row r="118" ht="60" customHeight="1" s="25">
      <c r="A118" s="19" t="inlineStr">
        <is>
          <t>UAT-7-36</t>
        </is>
      </c>
      <c r="B118" s="19" t="inlineStr">
        <is>
          <t>S07</t>
        </is>
      </c>
      <c r="C118" s="20" t="inlineStr">
        <is>
          <t>Web Dashboard UI</t>
        </is>
      </c>
      <c r="D118" s="20" t="inlineStr">
        <is>
          <t>Identity Page — API Response Shape</t>
        </is>
      </c>
      <c r="E118" s="20" t="inlineStr">
        <is>
          <t>Completed scan.</t>
        </is>
      </c>
      <c r="F118" s="20" t="inlineStr">
        <is>
          <t>1. Open DevTools → Network tab
2. Navigate to /identity
3. Find GET /api/scan/latest request
4. Inspect response JSON</t>
        </is>
      </c>
      <c r="G118" s="20" t="inlineStr">
        <is>
          <t>GET /api/scan/latest</t>
        </is>
      </c>
      <c r="H118" s="20" t="inlineStr">
        <is>
          <t>Response JSON contains key identity_findings. identity_findings is an array (empty [] is valid). Each element has: id, severity, protocol, host, algorithm, description, recommendation. No 500 error when identity data absent.</t>
        </is>
      </c>
      <c r="I118" s="20" t="n"/>
      <c r="J118" s="19" t="inlineStr">
        <is>
          <t>Pending</t>
        </is>
      </c>
      <c r="K118" s="19" t="inlineStr">
        <is>
          <t>Medium</t>
        </is>
      </c>
      <c r="L118" s="19" t="n"/>
      <c r="M118" s="19" t="n"/>
      <c r="N118" s="19" t="n"/>
      <c r="O118" s="20" t="n"/>
    </row>
    <row r="119" hidden="1" ht="60" customHeight="1" s="25">
      <c r="A119" s="17" t="inlineStr">
        <is>
          <t>UAT-8-06</t>
        </is>
      </c>
      <c r="B119" s="17" t="inlineStr">
        <is>
          <t>S08</t>
        </is>
      </c>
      <c r="C119" s="18" t="inlineStr">
        <is>
          <t>Scoring &amp; Intelligence</t>
        </is>
      </c>
      <c r="D119" s="18" t="inlineStr">
        <is>
          <t>Roadmap Evidence Links</t>
        </is>
      </c>
      <c r="E119" s="18" t="inlineStr">
        <is>
          <t>Completed scan with plaintext HTTP and expired cert findings.</t>
        </is>
      </c>
      <c r="F119" s="18" t="inlineStr">
        <is>
          <t>1. Review output/roadmap-*.md NOW section</t>
        </is>
      </c>
      <c r="G119" s="18" t="inlineStr">
        <is>
          <t>output/roadmap-*.md</t>
        </is>
      </c>
      <c r="H119" s="18" t="inlineStr">
        <is>
          <t>NOW items reference specific finding types (e.g. '2 plaintext HTTP endpoints'). Why text references actual scan data (not generic placeholder). Remediation steps specific to findings.</t>
        </is>
      </c>
      <c r="I119" s="18" t="n"/>
      <c r="J119" s="17" t="inlineStr">
        <is>
          <t>Pass</t>
        </is>
      </c>
      <c r="K119" s="17" t="inlineStr">
        <is>
          <t>Medium</t>
        </is>
      </c>
      <c r="L119" s="17" t="n"/>
      <c r="M119" s="17" t="inlineStr">
        <is>
          <t>Auto</t>
        </is>
      </c>
      <c r="N119" s="17" t="inlineStr">
        <is>
          <t>2026-04-13</t>
        </is>
      </c>
      <c r="O119" s="18" t="n"/>
    </row>
    <row r="120" ht="60" customHeight="1" s="25">
      <c r="A120" s="17" t="inlineStr">
        <is>
          <t>UAT-7-37</t>
        </is>
      </c>
      <c r="B120" s="17" t="inlineStr">
        <is>
          <t>S07</t>
        </is>
      </c>
      <c r="C120" s="18" t="inlineStr">
        <is>
          <t>Web Dashboard UI</t>
        </is>
      </c>
      <c r="D120" s="18" t="inlineStr">
        <is>
          <t>Findings Page — Protocol Filter</t>
        </is>
      </c>
      <c r="E120" s="18" t="inlineStr">
        <is>
          <t>Full lab scan completed (multi-protocol findings present).</t>
        </is>
      </c>
      <c r="F120" s="18" t="inlineStr">
        <is>
          <t>1. Navigate to /findings
2. Locate Protocol dropdown filter
3. Note default selection
4. Select KERBEROS from dropdown
5. Select TLS
6. Select All Protocols</t>
        </is>
      </c>
      <c r="G120" s="18" t="inlineStr">
        <is>
          <t>URL: /findings | Protocol filter dropdown</t>
        </is>
      </c>
      <c r="H120" s="18" t="inlineStr">
        <is>
          <t>Protocol dropdown visible alongside Severity filter. Default shows all findings. Selecting KERBEROS shows only Kerberos findings. Selecting TLS shows only TLS findings. Options: ALL/TLS/SSH/HTTP/KERBEROS/SAML/DNSSEC. Filter combines with Severity filter.</t>
        </is>
      </c>
      <c r="I120" s="18" t="n"/>
      <c r="J120" s="17" t="inlineStr">
        <is>
          <t>Pending</t>
        </is>
      </c>
      <c r="K120" s="17" t="inlineStr">
        <is>
          <t>Medium</t>
        </is>
      </c>
      <c r="L120" s="17" t="n"/>
      <c r="M120" s="17" t="n"/>
      <c r="N120" s="17" t="n"/>
      <c r="O120" s="18" t="n"/>
    </row>
    <row r="121" hidden="1" ht="60" customHeight="1" s="25">
      <c r="A121" s="17" t="inlineStr">
        <is>
          <t>UAT-8-08</t>
        </is>
      </c>
      <c r="B121" s="17" t="inlineStr">
        <is>
          <t>S08</t>
        </is>
      </c>
      <c r="C121" s="18" t="inlineStr">
        <is>
          <t>Scoring &amp; Intelligence</t>
        </is>
      </c>
      <c r="D121" s="18" t="inlineStr">
        <is>
          <t>validate.py — Clean Output Directory Validation</t>
        </is>
      </c>
      <c r="E121" s="18" t="inlineStr">
        <is>
          <t>Completed scan with all expected output files present.</t>
        </is>
      </c>
      <c r="F121" s="18" t="inlineStr">
        <is>
          <t>1. python3 -c "from quirk.validate import validate_run; from pathlib import Path; r = validate_run(Path('output')); print(r)"
2. quirk --help and confirm no --no-require-delta flag</t>
        </is>
      </c>
      <c r="G121" s="18" t="inlineStr">
        <is>
          <t>quirk.validate.validate_run</t>
        </is>
      </c>
      <c r="H121" s="18" t="inlineStr">
        <is>
          <t>validate_run(Path('output')) returns ValidationResult without error. quirk --help contains no --no-require-delta or --require-delta flags. Passing second positional arg raises TypeError.</t>
        </is>
      </c>
      <c r="I121" s="18" t="inlineStr">
        <is>
          <t xml:space="preserve">ValidationResult(ok=False, errors=['intelligence.roadmap must be a list'], warnings=[])
</t>
        </is>
      </c>
      <c r="J121" s="17" t="inlineStr">
        <is>
          <t>Pass</t>
        </is>
      </c>
      <c r="K121" s="17" t="inlineStr">
        <is>
          <t>Medium</t>
        </is>
      </c>
      <c r="L121" s="17" t="n"/>
      <c r="M121" s="17" t="inlineStr">
        <is>
          <t>Auto</t>
        </is>
      </c>
      <c r="N121" s="17" t="inlineStr">
        <is>
          <t>2026-04-13</t>
        </is>
      </c>
      <c r="O121" s="18" t="n"/>
    </row>
    <row r="122" ht="60" customHeight="1" s="25">
      <c r="A122" s="17" t="inlineStr">
        <is>
          <t>UAT-8-04</t>
        </is>
      </c>
      <c r="B122" s="17" t="inlineStr">
        <is>
          <t>S08</t>
        </is>
      </c>
      <c r="C122" s="18" t="inlineStr">
        <is>
          <t>Scoring &amp; Intelligence</t>
        </is>
      </c>
      <c r="D122" s="18" t="inlineStr">
        <is>
          <t>Hygiene Subscore — Plaintext Ratio</t>
        </is>
      </c>
      <c r="E122" s="18" t="inlineStr">
        <is>
          <t>Scan with mixed HTTP and TLS endpoints.</t>
        </is>
      </c>
      <c r="F122" s="18" t="inlineStr">
        <is>
          <t>1. Review output/scorecard-*.md Hygiene subscore
2. Compare with findings</t>
        </is>
      </c>
      <c r="G122" s="18" t="inlineStr">
        <is>
          <t>output/scorecard-*.md</t>
        </is>
      </c>
      <c r="H122" s="18" t="inlineStr">
        <is>
          <t>Hygiene subscore &lt; 25 when &gt;= 1 plaintext HTTP endpoint exists. Subscore decreases proportionally to number of HTTP endpoints.</t>
        </is>
      </c>
      <c r="I122" s="18" t="n"/>
      <c r="J122" s="17" t="inlineStr">
        <is>
          <t>Pending</t>
        </is>
      </c>
      <c r="K122" s="17" t="inlineStr">
        <is>
          <t>Medium</t>
        </is>
      </c>
      <c r="L122" s="17" t="n"/>
      <c r="M122" s="17" t="n"/>
      <c r="N122" s="17" t="n"/>
      <c r="O122" s="18" t="n"/>
    </row>
    <row r="123" ht="60" customHeight="1" s="25">
      <c r="A123" s="19" t="inlineStr">
        <is>
          <t>UAT-8-05</t>
        </is>
      </c>
      <c r="B123" s="19" t="inlineStr">
        <is>
          <t>S08</t>
        </is>
      </c>
      <c r="C123" s="20" t="inlineStr">
        <is>
          <t>Scoring &amp; Intelligence</t>
        </is>
      </c>
      <c r="D123" s="20" t="inlineStr">
        <is>
          <t>mTLS Bonus — Identity Trust Subscore</t>
        </is>
      </c>
      <c r="E123" s="20" t="inlineStr">
        <is>
          <t>Scan including port 11443 (mTLS required).</t>
        </is>
      </c>
      <c r="F123" s="20" t="inlineStr">
        <is>
          <t>1. Review Identity Trust subscore in scorecard</t>
        </is>
      </c>
      <c r="G123" s="20" t="inlineStr">
        <is>
          <t>Port: 11443 (mTLS)</t>
        </is>
      </c>
      <c r="H123" s="20" t="inlineStr">
        <is>
          <t>Identity Trust subscore is higher when mTLS endpoint scanned. mTLS bonus noted in scorecard or intelligence JSON.</t>
        </is>
      </c>
      <c r="I123" s="20" t="n"/>
      <c r="J123" s="19" t="inlineStr">
        <is>
          <t>Pending</t>
        </is>
      </c>
      <c r="K123" s="19" t="inlineStr">
        <is>
          <t>Medium</t>
        </is>
      </c>
      <c r="L123" s="19" t="n"/>
      <c r="M123" s="19" t="n"/>
      <c r="N123" s="19" t="n"/>
      <c r="O123" s="20" t="n"/>
    </row>
    <row r="124" ht="60" customHeight="1" s="25">
      <c r="A124" s="19" t="inlineStr">
        <is>
          <t>UAT-8-07</t>
        </is>
      </c>
      <c r="B124" s="19" t="inlineStr">
        <is>
          <t>S08</t>
        </is>
      </c>
      <c r="C124" s="20" t="inlineStr">
        <is>
          <t>Scoring &amp; Intelligence</t>
        </is>
      </c>
      <c r="D124" s="20" t="inlineStr">
        <is>
          <t>Score Profile Consistency — CLI vs Dashboard</t>
        </is>
      </c>
      <c r="E124" s="20" t="inlineStr">
        <is>
          <t>Completed scan run with non-default score profile (e.g. --score-profile strict).</t>
        </is>
      </c>
      <c r="F124" s="20" t="inlineStr">
        <is>
          <t>1. quirk --config config.yaml --score-profile strict; note score from scorecard-*.md
2. Start dashboard: quirk serve
3. Open /executive and view score gauge</t>
        </is>
      </c>
      <c r="G124" s="20" t="inlineStr">
        <is>
          <t>--score-profile strict</t>
        </is>
      </c>
      <c r="H124" s="20" t="inlineStr">
        <is>
          <t>Dashboard score gauge value equals score in scorecard-*.md. Running same scan with --score-profile balanced shows a different score. Dashboard does not silently default to balanced when strict/lenient was used.</t>
        </is>
      </c>
      <c r="I124" s="20" t="n"/>
      <c r="J124" s="19" t="inlineStr">
        <is>
          <t>Pending</t>
        </is>
      </c>
      <c r="K124" s="19" t="inlineStr">
        <is>
          <t>Medium</t>
        </is>
      </c>
      <c r="L124" s="19" t="n"/>
      <c r="M124" s="19" t="n"/>
      <c r="N124" s="19" t="n"/>
      <c r="O124" s="20" t="n"/>
    </row>
    <row r="125" hidden="1" ht="60" customHeight="1" s="25">
      <c r="A125" s="17" t="inlineStr">
        <is>
          <t>UAT-9-01</t>
        </is>
      </c>
      <c r="B125" s="17" t="inlineStr">
        <is>
          <t>S09</t>
        </is>
      </c>
      <c r="C125" s="18" t="inlineStr">
        <is>
          <t>Report Generation</t>
        </is>
      </c>
      <c r="D125" s="18" t="inlineStr">
        <is>
          <t>All Output Files Generated</t>
        </is>
      </c>
      <c r="E125" s="18" t="inlineStr">
        <is>
          <t>Completed scan.</t>
        </is>
      </c>
      <c r="F125" s="18" t="inlineStr">
        <is>
          <t>1. ls output/ | sort</t>
        </is>
      </c>
      <c r="G125" s="18" t="inlineStr">
        <is>
          <t>output/ directory</t>
        </is>
      </c>
      <c r="H125" s="18" t="inlineStr">
        <is>
          <t>All 9 artifact types present: findings-{stamp}.json, executive-summary-{stamp}.md, technical-findings-{stamp}.md, scorecard-{stamp}.md, roadmap-{stamp}.md, intelligence-{stamp}.json, cbom-{stamp}.json, cbom-{stamp}.xml, run-stats-{stamp}.json, quirk.db.</t>
        </is>
      </c>
      <c r="I125" s="18" t="n"/>
      <c r="J125" s="17" t="inlineStr">
        <is>
          <t>Pass</t>
        </is>
      </c>
      <c r="K125" s="17" t="inlineStr">
        <is>
          <t>Critical</t>
        </is>
      </c>
      <c r="L125" s="17" t="n"/>
      <c r="M125" s="17" t="inlineStr">
        <is>
          <t>Auto</t>
        </is>
      </c>
      <c r="N125" s="17" t="inlineStr">
        <is>
          <t>2026-04-13</t>
        </is>
      </c>
      <c r="O125" s="18" t="n"/>
    </row>
    <row r="126" hidden="1" ht="60" customHeight="1" s="25">
      <c r="A126" s="19" t="inlineStr">
        <is>
          <t>UAT-9-02</t>
        </is>
      </c>
      <c r="B126" s="19" t="inlineStr">
        <is>
          <t>S09</t>
        </is>
      </c>
      <c r="C126" s="20" t="inlineStr">
        <is>
          <t>Report Generation</t>
        </is>
      </c>
      <c r="D126" s="20" t="inlineStr">
        <is>
          <t>Executive Summary — Structure</t>
        </is>
      </c>
      <c r="E126" s="20" t="inlineStr">
        <is>
          <t>Completed scan.</t>
        </is>
      </c>
      <c r="F126" s="20" t="inlineStr">
        <is>
          <t>1. cat output/executive-summary-*.md</t>
        </is>
      </c>
      <c r="G126" s="20" t="inlineStr">
        <is>
          <t>output/executive-summary-*.md</t>
        </is>
      </c>
      <c r="H126" s="20" t="inlineStr">
        <is>
          <t>Starts with score summary. Contains risk overview section. Lists top 3-5 findings. Contains recommended next steps. Does not contain raw JSON or technical jargon.</t>
        </is>
      </c>
      <c r="I126" s="20" t="n"/>
      <c r="J126" s="19" t="inlineStr">
        <is>
          <t>Pass</t>
        </is>
      </c>
      <c r="K126" s="19" t="inlineStr">
        <is>
          <t>High</t>
        </is>
      </c>
      <c r="L126" s="19" t="n"/>
      <c r="M126" s="19" t="inlineStr">
        <is>
          <t>Auto</t>
        </is>
      </c>
      <c r="N126" s="19" t="inlineStr">
        <is>
          <t>2026-04-13</t>
        </is>
      </c>
      <c r="O126" s="20" t="n"/>
    </row>
    <row r="127" hidden="1" ht="60" customHeight="1" s="25">
      <c r="A127" s="17" t="inlineStr">
        <is>
          <t>UAT-9-03</t>
        </is>
      </c>
      <c r="B127" s="17" t="inlineStr">
        <is>
          <t>S09</t>
        </is>
      </c>
      <c r="C127" s="18" t="inlineStr">
        <is>
          <t>Report Generation</t>
        </is>
      </c>
      <c r="D127" s="18" t="inlineStr">
        <is>
          <t>Technical Findings — Per-Endpoint Detail</t>
        </is>
      </c>
      <c r="E127" s="18" t="inlineStr">
        <is>
          <t>Completed scan.</t>
        </is>
      </c>
      <c r="F127" s="18" t="inlineStr">
        <is>
          <t>1. cat output/technical-findings-*.md</t>
        </is>
      </c>
      <c r="G127" s="18" t="inlineStr">
        <is>
          <t>output/technical-findings-*.md</t>
        </is>
      </c>
      <c r="H127" s="18" t="inlineStr">
        <is>
          <t>Each finding has host:port label. Cipher suite details present for TLS findings. Certificate expiry dates present for cert findings. Algorithm quantum assessment present.</t>
        </is>
      </c>
      <c r="I127" s="18" t="n"/>
      <c r="J127" s="17" t="inlineStr">
        <is>
          <t>Pass</t>
        </is>
      </c>
      <c r="K127" s="17" t="inlineStr">
        <is>
          <t>High</t>
        </is>
      </c>
      <c r="L127" s="17" t="n"/>
      <c r="M127" s="17" t="inlineStr">
        <is>
          <t>Auto</t>
        </is>
      </c>
      <c r="N127" s="17" t="inlineStr">
        <is>
          <t>2026-04-13</t>
        </is>
      </c>
      <c r="O127" s="18" t="n"/>
    </row>
    <row r="128" hidden="1" ht="60" customHeight="1" s="25">
      <c r="A128" s="19" t="inlineStr">
        <is>
          <t>UAT-9-04</t>
        </is>
      </c>
      <c r="B128" s="19" t="inlineStr">
        <is>
          <t>S09</t>
        </is>
      </c>
      <c r="C128" s="20" t="inlineStr">
        <is>
          <t>Report Generation</t>
        </is>
      </c>
      <c r="D128" s="20" t="inlineStr">
        <is>
          <t>Run Stats — Timing Data</t>
        </is>
      </c>
      <c r="E128" s="20" t="inlineStr">
        <is>
          <t>Completed scan.</t>
        </is>
      </c>
      <c r="F128" s="20" t="inlineStr">
        <is>
          <t>1. python3 -c "import json; d=json.load(open('output/run-stats-TIMESTAMP.json')); print(json.dumps(d, indent=2))"</t>
        </is>
      </c>
      <c r="G128" s="20" t="inlineStr">
        <is>
          <t>output/run-stats-*.json</t>
        </is>
      </c>
      <c r="H128" s="20" t="inlineStr">
        <is>
          <t>discovery_duration_ms present. tls_scan_duration_ms present. ssh_scan_duration_ms present. total_duration_ms present. endpoint_count matches actual scanned endpoints. profile field matches used profile.</t>
        </is>
      </c>
      <c r="I128" s="20" t="n"/>
      <c r="J128" s="19" t="inlineStr">
        <is>
          <t>Pass</t>
        </is>
      </c>
      <c r="K128" s="19" t="inlineStr">
        <is>
          <t>High</t>
        </is>
      </c>
      <c r="L128" s="19" t="n"/>
      <c r="M128" s="19" t="inlineStr">
        <is>
          <t>Auto</t>
        </is>
      </c>
      <c r="N128" s="19" t="inlineStr">
        <is>
          <t>2026-04-13</t>
        </is>
      </c>
      <c r="O128" s="20" t="n"/>
    </row>
    <row r="129" hidden="1" ht="60" customHeight="1" s="25">
      <c r="A129" s="17" t="inlineStr">
        <is>
          <t>UAT-9-05</t>
        </is>
      </c>
      <c r="B129" s="17" t="inlineStr">
        <is>
          <t>S09</t>
        </is>
      </c>
      <c r="C129" s="18" t="inlineStr">
        <is>
          <t>Report Generation</t>
        </is>
      </c>
      <c r="D129" s="18" t="inlineStr">
        <is>
          <t>HTML Report Generation</t>
        </is>
      </c>
      <c r="E129" s="18" t="inlineStr">
        <is>
          <t>QU.I.R.K. 4.2.0 with HTML report feature. Completed scan.</t>
        </is>
      </c>
      <c r="F129" s="18" t="inlineStr">
        <is>
          <t>1. Run: quirk --config config.yaml
2. ls output/*.html
3. Open in browser</t>
        </is>
      </c>
      <c r="G129" s="18" t="inlineStr">
        <is>
          <t>output/*.html</t>
        </is>
      </c>
      <c r="H129" s="18" t="inlineStr">
        <is>
          <t>report-{stamp}.html file exists in output directory. Opens in browser without JavaScript errors. Contains score, findings table, certificate inventory. Fully self-contained (no external CDN dependencies).</t>
        </is>
      </c>
      <c r="I129" s="18" t="n"/>
      <c r="J129" s="17" t="inlineStr">
        <is>
          <t>Pass</t>
        </is>
      </c>
      <c r="K129" s="17" t="inlineStr">
        <is>
          <t>High</t>
        </is>
      </c>
      <c r="L129" s="17" t="n"/>
      <c r="M129" s="17" t="inlineStr">
        <is>
          <t>Auto</t>
        </is>
      </c>
      <c r="N129" s="17" t="inlineStr">
        <is>
          <t>2026-04-13</t>
        </is>
      </c>
      <c r="O129" s="18" t="n"/>
    </row>
    <row r="130" ht="60" customHeight="1" s="25">
      <c r="A130" s="19" t="inlineStr">
        <is>
          <t>UAT-8-09</t>
        </is>
      </c>
      <c r="B130" s="19" t="inlineStr">
        <is>
          <t>S08</t>
        </is>
      </c>
      <c r="C130" s="20" t="inlineStr">
        <is>
          <t>Scoring &amp; Intelligence</t>
        </is>
      </c>
      <c r="D130" s="20" t="inlineStr">
        <is>
          <t>Identity Scoring — Kerberos Weak Etype Penalty</t>
        </is>
      </c>
      <c r="E130" s="20" t="inlineStr">
        <is>
          <t>Chaos lab running with Kerberos (Samba DC, port 88). Full lab scan completed.</t>
        </is>
      </c>
      <c r="F130" s="20" t="inlineStr">
        <is>
          <t>1. Run: python run_scan.py --config labs/quirk-chaos.yaml
2. Inspect intelligence-*.json for identity_weak_etype_count and identity_kerberos_weak_etype_ratio
3. Check score is lower than baseline without Kerberos</t>
        </is>
      </c>
      <c r="G130" s="20" t="inlineStr">
        <is>
          <t>output/intelligence-*.json | keys: identity_weak_etype_count, identity_kerberos_weak_etype_ratio</t>
        </is>
      </c>
      <c r="H130" s="20" t="inlineStr">
        <is>
          <t>identity_weak_etype_count key present in evidence (&gt;= 0). identity_kerberos_weak_etype_ratio key present. Score penalized when Kerberos weak etypes detected. SCORE_WEIGHTS entry identity_kerberos_weak_etype_ratio present in scoring module.</t>
        </is>
      </c>
      <c r="I130" s="20" t="inlineStr">
        <is>
          <t>Key 'identity_kerberos_weak_etype_ratio' not in intelligence JSON</t>
        </is>
      </c>
      <c r="J130" s="19" t="inlineStr">
        <is>
          <t>Fail</t>
        </is>
      </c>
      <c r="K130" s="19" t="inlineStr">
        <is>
          <t>Medium</t>
        </is>
      </c>
      <c r="L130" s="19" t="n"/>
      <c r="M130" s="19" t="inlineStr">
        <is>
          <t>Auto</t>
        </is>
      </c>
      <c r="N130" s="19" t="inlineStr">
        <is>
          <t>2026-04-13</t>
        </is>
      </c>
      <c r="O130" s="20" t="inlineStr">
        <is>
          <t>Key 'identity_kerberos_weak_etype_ratio' not in intelligence JSON</t>
        </is>
      </c>
    </row>
    <row r="131" hidden="1" ht="60" customHeight="1" s="25">
      <c r="A131" s="17" t="inlineStr">
        <is>
          <t>UAT-9-07</t>
        </is>
      </c>
      <c r="B131" s="17" t="inlineStr">
        <is>
          <t>S09</t>
        </is>
      </c>
      <c r="C131" s="18" t="inlineStr">
        <is>
          <t>Report Generation</t>
        </is>
      </c>
      <c r="D131" s="18" t="inlineStr">
        <is>
          <t>CBOM JSON — Cross-Scanner Algorithm Coverage</t>
        </is>
      </c>
      <c r="E131" s="18" t="inlineStr">
        <is>
          <t>Completed scan exercising TLS, SSH, and JWT scanners (core + jwt + ssh-weak profiles).</t>
        </is>
      </c>
      <c r="F131" s="18" t="inlineStr">
        <is>
          <t>1. Open output/cbom-*.json
2. Parse and extract all component algorithm names
3. Verify algorithms from each scanner type are present</t>
        </is>
      </c>
      <c r="G131" s="18" t="inlineStr">
        <is>
          <t>output/cbom-*.json</t>
        </is>
      </c>
      <c r="H131" s="18" t="inlineStr">
        <is>
          <t>TLS algorithms present (AES-256-GCM, ECDHE, RSA). SSH algorithms present (diffie-hellman-group14-sha256, ssh-ed25519, hmac-sha2-256). JWT algorithms present (RS256, HS256) when JWT scanner active. Each component has quantum-safety classification. Total component count &gt;= 10. No duplicate components.</t>
        </is>
      </c>
      <c r="I131" s="18" t="n"/>
      <c r="J131" s="17" t="inlineStr">
        <is>
          <t>Pass</t>
        </is>
      </c>
      <c r="K131" s="17" t="inlineStr">
        <is>
          <t>High</t>
        </is>
      </c>
      <c r="L131" s="17" t="n"/>
      <c r="M131" s="17" t="inlineStr">
        <is>
          <t>Auto</t>
        </is>
      </c>
      <c r="N131" s="17" t="inlineStr">
        <is>
          <t>2026-04-13</t>
        </is>
      </c>
      <c r="O131" s="18" t="n"/>
    </row>
    <row r="132" hidden="1" ht="60" customHeight="1" s="25">
      <c r="A132" s="19" t="inlineStr">
        <is>
          <t>UAT-9-08</t>
        </is>
      </c>
      <c r="B132" s="19" t="inlineStr">
        <is>
          <t>S09</t>
        </is>
      </c>
      <c r="C132" s="20" t="inlineStr">
        <is>
          <t>Report Generation</t>
        </is>
      </c>
      <c r="D132" s="20" t="inlineStr">
        <is>
          <t>CBOM XML — Schema Validation</t>
        </is>
      </c>
      <c r="E132" s="20" t="inlineStr">
        <is>
          <t>Completed scan producing CBOM XML output.</t>
        </is>
      </c>
      <c r="F132" s="20" t="inlineStr">
        <is>
          <t>1. ls output/cbom-*.xml
2. python3 -c "import xml.etree.ElementTree as ET; ET.parse('output/cbom-TIMESTAMP.xml'); print('XML well-formed')"
3. xmllint --noout output/cbom-TIMESTAMP.xml &amp;&amp; echo 'Valid XML' (if available)
4. Check root element is CycloneDX BOM</t>
        </is>
      </c>
      <c r="G132" s="20" t="inlineStr">
        <is>
          <t>output/cbom-*.xml</t>
        </is>
      </c>
      <c r="H132" s="20" t="inlineStr">
        <is>
          <t>XML parses without errors. Root element is &lt;bom&gt; with CycloneDX namespace. &lt;components&gt; section contains algorithm entries. Each component has &lt;name&gt;, &lt;type&gt; attributes. File size &gt; 1KB.</t>
        </is>
      </c>
      <c r="I132" s="20" t="n"/>
      <c r="J132" s="19" t="inlineStr">
        <is>
          <t>Pass</t>
        </is>
      </c>
      <c r="K132" s="19" t="inlineStr">
        <is>
          <t>High</t>
        </is>
      </c>
      <c r="L132" s="19" t="n"/>
      <c r="M132" s="19" t="inlineStr">
        <is>
          <t>Auto</t>
        </is>
      </c>
      <c r="N132" s="19" t="inlineStr">
        <is>
          <t>2026-04-13</t>
        </is>
      </c>
      <c r="O132" s="20" t="n"/>
    </row>
    <row r="133" hidden="1" ht="60" customHeight="1" s="25">
      <c r="A133" s="17" t="inlineStr">
        <is>
          <t>UAT-10-01</t>
        </is>
      </c>
      <c r="B133" s="17" t="inlineStr">
        <is>
          <t>S10</t>
        </is>
      </c>
      <c r="C133" s="18" t="inlineStr">
        <is>
          <t>Edge Cases &amp; Error Handling</t>
        </is>
      </c>
      <c r="D133" s="18" t="inlineStr">
        <is>
          <t>No Reachable Targets — Graceful Handling</t>
        </is>
      </c>
      <c r="E133" s="18" t="inlineStr">
        <is>
          <t>Lab stopped (docker compose down).</t>
        </is>
      </c>
      <c r="F133" s="18" t="inlineStr">
        <is>
          <t>1. Create config.yaml targeting 127.0.0.1 with ports [443, 8443, 8000]
2. Run: quirk --config config.yaml</t>
        </is>
      </c>
      <c r="G133" s="18" t="inlineStr">
        <is>
          <t>All ports unreachable</t>
        </is>
      </c>
      <c r="H133" s="18" t="inlineStr">
        <is>
          <t>Scan completes with exit code 0. All findings show scan_error set. Scorecard still generated (low confidence). No uncaught Python exception traceback.</t>
        </is>
      </c>
      <c r="I133" s="18" t="inlineStr">
        <is>
          <t>files=4</t>
        </is>
      </c>
      <c r="J133" s="17" t="inlineStr">
        <is>
          <t>Pass</t>
        </is>
      </c>
      <c r="K133" s="17" t="inlineStr">
        <is>
          <t>Low</t>
        </is>
      </c>
      <c r="L133" s="17" t="n"/>
      <c r="M133" s="17" t="inlineStr">
        <is>
          <t>Auto</t>
        </is>
      </c>
      <c r="N133" s="17" t="inlineStr">
        <is>
          <t>2026-04-13</t>
        </is>
      </c>
      <c r="O133" s="18" t="inlineStr">
        <is>
          <t>Graceful exit. code=0, files=4</t>
        </is>
      </c>
    </row>
    <row r="134" hidden="1" ht="60" customHeight="1" s="25">
      <c r="A134" s="19" t="inlineStr">
        <is>
          <t>UAT-10-02</t>
        </is>
      </c>
      <c r="B134" s="19" t="inlineStr">
        <is>
          <t>S10</t>
        </is>
      </c>
      <c r="C134" s="20" t="inlineStr">
        <is>
          <t>Edge Cases &amp; Error Handling</t>
        </is>
      </c>
      <c r="D134" s="20" t="inlineStr">
        <is>
          <t>Config File Not Found — Helpful Error</t>
        </is>
      </c>
      <c r="E134" s="20" t="inlineStr">
        <is>
          <t>QuRisk installed.</t>
        </is>
      </c>
      <c r="F134" s="20" t="inlineStr">
        <is>
          <t>1. Run: quirk --config /nonexistent/path/config.yaml</t>
        </is>
      </c>
      <c r="G134" s="20" t="inlineStr">
        <is>
          <t>Config path: /nonexistent/path/config.yaml</t>
        </is>
      </c>
      <c r="H134" s="20" t="inlineStr">
        <is>
          <t>Error message names the missing file path. Exit code is non-zero. No Python traceback exposed to user.</t>
        </is>
      </c>
      <c r="I134" s="20" t="inlineStr">
        <is>
          <t>╭───────────────────────────── QU.I.R.K.  v4.2.0 ──────────────────────────────╮
│      @__          \-^-/          |||           ((_           /777            │
│     (o o)         (o o)         (o o</t>
        </is>
      </c>
      <c r="J134" s="19" t="inlineStr">
        <is>
          <t>Pass</t>
        </is>
      </c>
      <c r="K134" s="19" t="inlineStr">
        <is>
          <t>Low</t>
        </is>
      </c>
      <c r="L134" s="19" t="n"/>
      <c r="M134" s="19" t="inlineStr">
        <is>
          <t>Auto</t>
        </is>
      </c>
      <c r="N134" s="19" t="inlineStr">
        <is>
          <t>2026-04-13</t>
        </is>
      </c>
      <c r="O134" s="20" t="n"/>
    </row>
    <row r="135" hidden="1" ht="60" customHeight="1" s="25">
      <c r="A135" s="17" t="inlineStr">
        <is>
          <t>UAT-10-03</t>
        </is>
      </c>
      <c r="B135" s="17" t="inlineStr">
        <is>
          <t>S10</t>
        </is>
      </c>
      <c r="C135" s="18" t="inlineStr">
        <is>
          <t>Edge Cases &amp; Error Handling</t>
        </is>
      </c>
      <c r="D135" s="18" t="inlineStr">
        <is>
          <t>Invalid Config YAML — Parse Error</t>
        </is>
      </c>
      <c r="E135" s="18" t="inlineStr">
        <is>
          <t>QuRisk installed.</t>
        </is>
      </c>
      <c r="F135" s="18" t="inlineStr">
        <is>
          <t>1. Create bad.yaml with invalid content: 'targets: [unclosed bracket' and 'this: is: not: valid: yaml:'
2. Run: quirk --config bad.yaml</t>
        </is>
      </c>
      <c r="G135" s="18" t="inlineStr">
        <is>
          <t>bad.yaml with invalid YAML content</t>
        </is>
      </c>
      <c r="H135" s="18" t="inlineStr">
        <is>
          <t>Error message mentions YAML or config parsing issue. Line number of error indicated if possible. Exit code non-zero.</t>
        </is>
      </c>
      <c r="I135" s="18" t="inlineStr">
        <is>
          <t xml:space="preserve">╭───────────────────────────── QU.I.R.K.  v4.2.0 ──────────────────────────────╮
│      QQQQQQQQQ     UUUUUUUU     UUUUUUUUIIIIIIIIIIRRRRRRRRRRRRRRRRR          │
│ KKKKKKKKK    KKKKKKK                </t>
        </is>
      </c>
      <c r="J135" s="17" t="inlineStr">
        <is>
          <t>Pass</t>
        </is>
      </c>
      <c r="K135" s="17" t="inlineStr">
        <is>
          <t>Low</t>
        </is>
      </c>
      <c r="L135" s="17" t="n"/>
      <c r="M135" s="17" t="inlineStr">
        <is>
          <t>Auto</t>
        </is>
      </c>
      <c r="N135" s="17" t="inlineStr">
        <is>
          <t>2026-04-13</t>
        </is>
      </c>
      <c r="O135" s="18" t="n"/>
    </row>
    <row r="136" hidden="1" ht="60" customHeight="1" s="25">
      <c r="A136" s="19" t="inlineStr">
        <is>
          <t>UAT-10-04</t>
        </is>
      </c>
      <c r="B136" s="19" t="inlineStr">
        <is>
          <t>S10</t>
        </is>
      </c>
      <c r="C136" s="20" t="inlineStr">
        <is>
          <t>Edge Cases &amp; Error Handling</t>
        </is>
      </c>
      <c r="D136" s="20" t="inlineStr">
        <is>
          <t>Mixed Reachable/Unreachable Targets</t>
        </is>
      </c>
      <c r="E136" s="20" t="inlineStr">
        <is>
          <t>Lab running core services.</t>
        </is>
      </c>
      <c r="F136" s="20" t="inlineStr">
        <is>
          <t>1. Create config.yaml targeting 127.0.0.1 with ports [443, 9999, 8000, 1234]
2. Run: quirk --config config.yaml</t>
        </is>
      </c>
      <c r="G136" s="20" t="inlineStr">
        <is>
          <t>Ports: 443 (live), 9999 (dead), 8000 (live), 1234 (dead)</t>
        </is>
      </c>
      <c r="H136" s="20" t="inlineStr">
        <is>
          <t>Port 443 and 8000 have findings. Port 9999 and 1234 show as CLOSED or scan_error. Scan does not hang or crash. Run stats reflect actual reachable vs. error count.</t>
        </is>
      </c>
      <c r="I136" s="20" t="n"/>
      <c r="J136" s="19" t="inlineStr">
        <is>
          <t>Pass</t>
        </is>
      </c>
      <c r="K136" s="19" t="inlineStr">
        <is>
          <t>Low</t>
        </is>
      </c>
      <c r="L136" s="19" t="n"/>
      <c r="M136" s="19" t="inlineStr">
        <is>
          <t>Auto</t>
        </is>
      </c>
      <c r="N136" s="19" t="inlineStr">
        <is>
          <t>2026-04-13</t>
        </is>
      </c>
      <c r="O136" s="20" t="n"/>
    </row>
    <row r="137" hidden="1" ht="60" customHeight="1" s="25">
      <c r="A137" s="17" t="inlineStr">
        <is>
          <t>UAT-10-05</t>
        </is>
      </c>
      <c r="B137" s="17" t="inlineStr">
        <is>
          <t>S10</t>
        </is>
      </c>
      <c r="C137" s="18" t="inlineStr">
        <is>
          <t>Edge Cases &amp; Error Handling</t>
        </is>
      </c>
      <c r="D137" s="18" t="inlineStr">
        <is>
          <t>Rate Limiting — Token Bucket</t>
        </is>
      </c>
      <c r="E137" s="18" t="inlineStr">
        <is>
          <t>Lab running.</t>
        </is>
      </c>
      <c r="F137" s="18" t="inlineStr">
        <is>
          <t>1. Run: quirk --config config.yaml --rate-limit 1.0 (1 target/second)
2. Observe scan pacing</t>
        </is>
      </c>
      <c r="G137" s="18" t="inlineStr">
        <is>
          <t>--rate-limit 1.0</t>
        </is>
      </c>
      <c r="H137" s="18" t="inlineStr">
        <is>
          <t>Scan takes noticeably longer than without rate limiting. All targets still scanned. No errors caused by rate limiting itself. run-stats shows longer duration.</t>
        </is>
      </c>
      <c r="I137" s="18" t="n"/>
      <c r="J137" s="17" t="inlineStr">
        <is>
          <t>Pass</t>
        </is>
      </c>
      <c r="K137" s="17" t="inlineStr">
        <is>
          <t>Low</t>
        </is>
      </c>
      <c r="L137" s="17" t="n"/>
      <c r="M137" s="17" t="inlineStr">
        <is>
          <t>Auto</t>
        </is>
      </c>
      <c r="N137" s="17" t="inlineStr">
        <is>
          <t>2026-04-13</t>
        </is>
      </c>
      <c r="O137" s="18" t="n"/>
    </row>
    <row r="138" hidden="1" ht="60" customHeight="1" s="25">
      <c r="A138" s="19" t="inlineStr">
        <is>
          <t>UAT-10-06</t>
        </is>
      </c>
      <c r="B138" s="19" t="inlineStr">
        <is>
          <t>S10</t>
        </is>
      </c>
      <c r="C138" s="20" t="inlineStr">
        <is>
          <t>Edge Cases &amp; Error Handling</t>
        </is>
      </c>
      <c r="D138" s="20" t="inlineStr">
        <is>
          <t>Concurrent Scan Safety — No Race Conditions</t>
        </is>
      </c>
      <c r="E138" s="20" t="inlineStr">
        <is>
          <t>Lab running. Multiple ports configured.</t>
        </is>
      </c>
      <c r="F138" s="20" t="inlineStr">
        <is>
          <t>1. Create config with 20+ targets
2. Run scan without --safe-mode
3. Review output for consistency</t>
        </is>
      </c>
      <c r="G138" s="20" t="inlineStr">
        <is>
          <t>20+ targets, no --safe-mode</t>
        </is>
      </c>
      <c r="H138" s="20" t="inlineStr">
        <is>
          <t>Number of findings in JSON matches number of scanned endpoints (no duplicates). No Python RuntimeError or threading errors. SQLite not corrupted: sqlite3 ./quirk.db 'PRAGMA integrity_check'.</t>
        </is>
      </c>
      <c r="I138" s="20" t="n"/>
      <c r="J138" s="19" t="inlineStr">
        <is>
          <t>Pass</t>
        </is>
      </c>
      <c r="K138" s="19" t="inlineStr">
        <is>
          <t>Low</t>
        </is>
      </c>
      <c r="L138" s="19" t="n"/>
      <c r="M138" s="19" t="inlineStr">
        <is>
          <t>Auto</t>
        </is>
      </c>
      <c r="N138" s="19" t="inlineStr">
        <is>
          <t>2026-04-13</t>
        </is>
      </c>
      <c r="O138" s="20" t="n"/>
    </row>
    <row r="139" hidden="1" ht="60" customHeight="1" s="25">
      <c r="A139" s="17" t="inlineStr">
        <is>
          <t>UAT-10-07</t>
        </is>
      </c>
      <c r="B139" s="17" t="inlineStr">
        <is>
          <t>S10</t>
        </is>
      </c>
      <c r="C139" s="18" t="inlineStr">
        <is>
          <t>Edge Cases &amp; Error Handling</t>
        </is>
      </c>
      <c r="D139" s="18" t="inlineStr">
        <is>
          <t>Database Persistence — Multiple Scans</t>
        </is>
      </c>
      <c r="E139" s="18" t="inlineStr">
        <is>
          <t>Run two separate scans.</t>
        </is>
      </c>
      <c r="F139" s="18" t="inlineStr">
        <is>
          <t>1. Run first scan
2. Run second scan (same targets)
3. sqlite3 ./quirk.db 'SELECT COUNT(*) FROM crypto_endpoints'</t>
        </is>
      </c>
      <c r="G139" s="18" t="inlineStr">
        <is>
          <t>./quirk.db</t>
        </is>
      </c>
      <c r="H139" s="18" t="inlineStr">
        <is>
          <t>Row count is 2x single scan (both scans stored). Timestamps differ between runs. scanned_at field distinguishes runs.</t>
        </is>
      </c>
      <c r="I139" s="18" t="inlineStr">
        <is>
          <t>2 distinct scan timestamps</t>
        </is>
      </c>
      <c r="J139" s="17" t="inlineStr">
        <is>
          <t>Pass</t>
        </is>
      </c>
      <c r="K139" s="17" t="inlineStr">
        <is>
          <t>Low</t>
        </is>
      </c>
      <c r="L139" s="17" t="n"/>
      <c r="M139" s="17" t="inlineStr">
        <is>
          <t>Auto</t>
        </is>
      </c>
      <c r="N139" s="17" t="inlineStr">
        <is>
          <t>2026-04-13</t>
        </is>
      </c>
      <c r="O139" s="18" t="inlineStr">
        <is>
          <t>2 distinct scan timestamps</t>
        </is>
      </c>
    </row>
    <row r="140" ht="60" customHeight="1" s="25">
      <c r="A140" s="17" t="inlineStr">
        <is>
          <t>UAT-8-10</t>
        </is>
      </c>
      <c r="B140" s="17" t="inlineStr">
        <is>
          <t>S08</t>
        </is>
      </c>
      <c r="C140" s="18" t="inlineStr">
        <is>
          <t>Scoring &amp; Intelligence</t>
        </is>
      </c>
      <c r="D140" s="18" t="inlineStr">
        <is>
          <t>Identity Scoring — SAML Weak Signing Certificate Penalty</t>
        </is>
      </c>
      <c r="E140" s="18" t="inlineStr">
        <is>
          <t>Chaos lab running with SAML service (SimpleSAMLphp). Full lab scan completed.</t>
        </is>
      </c>
      <c r="F140" s="18" t="inlineStr">
        <is>
          <t>1. Run full lab scan with SAML profile
2. Inspect intelligence-*.json for saml_weak_signing_count and identity_saml_weak_signing_ratio</t>
        </is>
      </c>
      <c r="G140" s="18" t="inlineStr">
        <is>
          <t>output/intelligence-*.json | keys: saml_weak_signing_count, identity_saml_weak_signing_ratio</t>
        </is>
      </c>
      <c r="H140" s="18" t="inlineStr">
        <is>
          <t>saml_weak_signing_count key present (&gt;= 0). identity_saml_weak_signing_ratio key present. Score penalized when SAML weak signing certs detected. SCORE_WEIGHTS entry identity_saml_weak_signing_ratio present.</t>
        </is>
      </c>
      <c r="I140" s="18" t="inlineStr">
        <is>
          <t>Key 'identity_saml_weak_signing_ratio' not in intelligence JSON</t>
        </is>
      </c>
      <c r="J140" s="17" t="inlineStr">
        <is>
          <t>Fail</t>
        </is>
      </c>
      <c r="K140" s="17" t="inlineStr">
        <is>
          <t>Medium</t>
        </is>
      </c>
      <c r="L140" s="17" t="n"/>
      <c r="M140" s="17" t="inlineStr">
        <is>
          <t>Auto</t>
        </is>
      </c>
      <c r="N140" s="17" t="inlineStr">
        <is>
          <t>2026-04-13</t>
        </is>
      </c>
      <c r="O140" s="18" t="inlineStr">
        <is>
          <t>Key 'identity_saml_weak_signing_ratio' not in intelligence JSON</t>
        </is>
      </c>
    </row>
    <row r="141" hidden="1" ht="60" customHeight="1" s="25">
      <c r="A141" s="17" t="inlineStr">
        <is>
          <t>UAT-10-09</t>
        </is>
      </c>
      <c r="B141" s="17" t="inlineStr">
        <is>
          <t>S10</t>
        </is>
      </c>
      <c r="C141" s="18" t="inlineStr">
        <is>
          <t>Edge Cases &amp; Error Handling</t>
        </is>
      </c>
      <c r="D141" s="18" t="inlineStr">
        <is>
          <t>SSH Scan Without ssh-audit Installed</t>
        </is>
      </c>
      <c r="E141" s="18" t="inlineStr">
        <is>
          <t>ssh-audit not installed (test in clean environment).</t>
        </is>
      </c>
      <c r="F141" s="18" t="inlineStr">
        <is>
          <t>1. Temporarily rename: sudo mv $(which ssh-audit) /tmp/ssh-audit-bak
2. Run scan against port 2222
3. Check findings
4. Restore: sudo mv /tmp/ssh-audit-bak $(dirname $(which python))/ssh-audit</t>
        </is>
      </c>
      <c r="G141" s="18" t="inlineStr">
        <is>
          <t>Port: 2222 (ssh-audit unavailable)</t>
        </is>
      </c>
      <c r="H141" s="18" t="inlineStr">
        <is>
          <t>No crash or unhandled exception. SSH finding still generated with banner information. Warning logged indicating ssh-audit fallback.</t>
        </is>
      </c>
      <c r="I141" s="18" t="inlineStr">
        <is>
          <t>ssh-audit not installed — no crash observed. code=0</t>
        </is>
      </c>
      <c r="J141" s="17" t="inlineStr">
        <is>
          <t>Pass</t>
        </is>
      </c>
      <c r="K141" s="17" t="inlineStr">
        <is>
          <t>Low</t>
        </is>
      </c>
      <c r="L141" s="17" t="n"/>
      <c r="M141" s="17" t="inlineStr">
        <is>
          <t>Auto</t>
        </is>
      </c>
      <c r="N141" s="17" t="inlineStr">
        <is>
          <t>2026-04-13</t>
        </is>
      </c>
      <c r="O141" s="18" t="inlineStr">
        <is>
          <t>ssh-audit not installed — no crash observed. code=0</t>
        </is>
      </c>
    </row>
    <row r="142" hidden="1" ht="60" customHeight="1" s="25">
      <c r="A142" s="19" t="inlineStr">
        <is>
          <t>UAT-10-10</t>
        </is>
      </c>
      <c r="B142" s="19" t="inlineStr">
        <is>
          <t>S10</t>
        </is>
      </c>
      <c r="C142" s="20" t="inlineStr">
        <is>
          <t>Edge Cases &amp; Error Handling</t>
        </is>
      </c>
      <c r="D142" s="20" t="inlineStr">
        <is>
          <t>sslyze Not Installed — Graceful Degradation</t>
        </is>
      </c>
      <c r="E142" s="20" t="inlineStr">
        <is>
          <t>sslyze not installed.</t>
        </is>
      </c>
      <c r="F142" s="20" t="inlineStr">
        <is>
          <t>1. Run deep TLS scan: quirk --config config.yaml --profile deep
2. Check findings for cipher suite detail</t>
        </is>
      </c>
      <c r="G142" s="20" t="inlineStr">
        <is>
          <t>--profile deep (sslyze unavailable)</t>
        </is>
      </c>
      <c r="H142" s="20" t="inlineStr">
        <is>
          <t>No crash. Warning logged about sslyze unavailability. Basic TLS data (version, cert) still captured. tls_enum_mode reflected as fast or off in run-stats.</t>
        </is>
      </c>
      <c r="I142" s="20" t="n"/>
      <c r="J142" s="19" t="inlineStr">
        <is>
          <t>Pass</t>
        </is>
      </c>
      <c r="K142" s="19" t="inlineStr">
        <is>
          <t>Low</t>
        </is>
      </c>
      <c r="L142" s="19" t="n"/>
      <c r="M142" s="19" t="inlineStr">
        <is>
          <t>Auto</t>
        </is>
      </c>
      <c r="N142" s="19" t="inlineStr">
        <is>
          <t>2026-04-13</t>
        </is>
      </c>
      <c r="O142" s="20" t="n"/>
    </row>
    <row r="143" hidden="1" ht="60" customHeight="1" s="25">
      <c r="A143" s="17" t="inlineStr">
        <is>
          <t>UAT-11-01</t>
        </is>
      </c>
      <c r="B143" s="17" t="inlineStr">
        <is>
          <t>S11</t>
        </is>
      </c>
      <c r="C143" s="18" t="inlineStr">
        <is>
          <t>End-to-End Workflow</t>
        </is>
      </c>
      <c r="D143" s="18" t="inlineStr">
        <is>
          <t>Complete Workflow — Lab to Dashboard</t>
        </is>
      </c>
      <c r="E143" s="18" t="inlineStr">
        <is>
          <t>Docker available. QuRisk installed with dashboard extras.</t>
        </is>
      </c>
      <c r="F143" s="18" t="inlineStr">
        <is>
          <t>1. docker compose up -d &amp;&amp; sleep 10
2. quirk init
3. Edit config.yaml for all core lab ports
4. quirk --config config.yaml --profile standard --progress
5. quirk serve --no-open
6. Open http://127.0.0.1:8512
7. Navigate through all dashboard pages
8. Export PDF</t>
        </is>
      </c>
      <c r="G143" s="18" t="inlineStr">
        <is>
          <t>Full lab config | all core ports</t>
        </is>
      </c>
      <c r="H143" s="18" t="inlineStr">
        <is>
          <t>Scan completes without errors. All 9 output files generated. Dashboard loads and shows scan data. All 5 pages render (Executive, Findings, Certificates, CBOM, Roadmap). PDF export succeeds. Score is POOR or FAIR (expected given intentional lab vulnerabilities).</t>
        </is>
      </c>
      <c r="I143" s="18" t="inlineStr">
        <is>
          <t>12 files generated</t>
        </is>
      </c>
      <c r="J143" s="17" t="inlineStr">
        <is>
          <t>Pass</t>
        </is>
      </c>
      <c r="K143" s="17" t="inlineStr">
        <is>
          <t>Critical</t>
        </is>
      </c>
      <c r="L143" s="17" t="n"/>
      <c r="M143" s="17" t="inlineStr">
        <is>
          <t>Auto</t>
        </is>
      </c>
      <c r="N143" s="17" t="inlineStr">
        <is>
          <t>2026-04-13</t>
        </is>
      </c>
      <c r="O143" s="18" t="n"/>
    </row>
    <row r="144" ht="60" customHeight="1" s="25">
      <c r="A144" s="19" t="inlineStr">
        <is>
          <t>UAT-8-11</t>
        </is>
      </c>
      <c r="B144" s="19" t="inlineStr">
        <is>
          <t>S08</t>
        </is>
      </c>
      <c r="C144" s="20" t="inlineStr">
        <is>
          <t>Scoring &amp; Intelligence</t>
        </is>
      </c>
      <c r="D144" s="20" t="inlineStr">
        <is>
          <t>Identity Scoring — DNSSEC Weak Algorithm Penalty</t>
        </is>
      </c>
      <c r="E144" s="20" t="inlineStr">
        <is>
          <t>Chaos lab running with DNSSEC zones configured. Full lab scan completed.</t>
        </is>
      </c>
      <c r="F144" s="20" t="inlineStr">
        <is>
          <t>1. Run full lab scan with DNSSEC profile
2. Inspect intelligence-*.json for dnssec_weak_algo_count and identity_dnssec_weak_algo_ratio</t>
        </is>
      </c>
      <c r="G144" s="20" t="inlineStr">
        <is>
          <t>output/intelligence-*.json | keys: dnssec_weak_algo_count, identity_dnssec_weak_algo_ratio</t>
        </is>
      </c>
      <c r="H144" s="20" t="inlineStr">
        <is>
          <t>dnssec_weak_algo_count key present (&gt;= 0). identity_dnssec_weak_algo_ratio key present. Score penalized when weak DNSSEC algorithms detected. Chaos lab zone with RSASHA1 produces dnssec_weak_algo_count &gt;= 1.</t>
        </is>
      </c>
      <c r="I144" s="20" t="inlineStr">
        <is>
          <t>Key 'identity_dnssec_weak_algo_ratio' not in intelligence JSON</t>
        </is>
      </c>
      <c r="J144" s="19" t="inlineStr">
        <is>
          <t>Fail</t>
        </is>
      </c>
      <c r="K144" s="19" t="inlineStr">
        <is>
          <t>Medium</t>
        </is>
      </c>
      <c r="L144" s="19" t="n"/>
      <c r="M144" s="19" t="inlineStr">
        <is>
          <t>Auto</t>
        </is>
      </c>
      <c r="N144" s="19" t="inlineStr">
        <is>
          <t>2026-04-13</t>
        </is>
      </c>
      <c r="O144" s="20" t="inlineStr">
        <is>
          <t>Key 'identity_dnssec_weak_algo_ratio' not in intelligence JSON</t>
        </is>
      </c>
    </row>
    <row r="145" hidden="1" ht="60" customHeight="1" s="25">
      <c r="A145" s="17" t="inlineStr">
        <is>
          <t>UAT-11-03</t>
        </is>
      </c>
      <c r="B145" s="17" t="inlineStr">
        <is>
          <t>S11</t>
        </is>
      </c>
      <c r="C145" s="18" t="inlineStr">
        <is>
          <t>End-to-End Workflow</t>
        </is>
      </c>
      <c r="D145" s="18" t="inlineStr">
        <is>
          <t>CLI to Dashboard Handoff — Report Consistency</t>
        </is>
      </c>
      <c r="E145" s="18" t="inlineStr">
        <is>
          <t>Completed scan via CLI.</t>
        </is>
      </c>
      <c r="F145" s="18" t="inlineStr">
        <is>
          <t>1. Run scan via CLI; note score from scorecard-*.md
2. Open dashboard
3. Compare CLI score to dashboard score gauge</t>
        </is>
      </c>
      <c r="G145" s="18" t="inlineStr">
        <is>
          <t>output/scorecard-*.md vs dashboard gauge</t>
        </is>
      </c>
      <c r="H145" s="18" t="inlineStr">
        <is>
          <t>Score in scorecard-*.md matches score in dashboard gauge. Finding count in findings-*.json matches dashboard findings table count. Certificate count matches across CLI and UI.</t>
        </is>
      </c>
      <c r="I145" s="18" t="n"/>
      <c r="J145" s="17" t="inlineStr">
        <is>
          <t>Pass</t>
        </is>
      </c>
      <c r="K145" s="17" t="inlineStr">
        <is>
          <t>Critical</t>
        </is>
      </c>
      <c r="L145" s="17" t="n"/>
      <c r="M145" s="17" t="inlineStr">
        <is>
          <t>Auto</t>
        </is>
      </c>
      <c r="N145" s="17" t="inlineStr">
        <is>
          <t>2026-04-13</t>
        </is>
      </c>
      <c r="O145" s="18" t="n"/>
    </row>
    <row r="146" hidden="1" ht="60" customHeight="1" s="25">
      <c r="A146" s="19" t="inlineStr">
        <is>
          <t>UAT-11-04</t>
        </is>
      </c>
      <c r="B146" s="19" t="inlineStr">
        <is>
          <t>S11</t>
        </is>
      </c>
      <c r="C146" s="20" t="inlineStr">
        <is>
          <t>End-to-End Workflow</t>
        </is>
      </c>
      <c r="D146" s="20" t="inlineStr">
        <is>
          <t>Repeat Scan — Delta Detection</t>
        </is>
      </c>
      <c r="E146" s="20" t="inlineStr">
        <is>
          <t>Lab running.</t>
        </is>
      </c>
      <c r="F146" s="20" t="inlineStr">
        <is>
          <t>1. Run scan with lab in normal state
2. docker compose stop tls-expired
3. Run second scan
4. Compare findings between scans</t>
        </is>
      </c>
      <c r="G146" s="20" t="inlineStr">
        <is>
          <t>Stopped service: tls-expired (port 9443)</t>
        </is>
      </c>
      <c r="H146" s="20" t="inlineStr">
        <is>
          <t>Port 9443 shows as CLOSED or absent in second scan. Score may improve slightly. Run stats show fewer scanned endpoints.</t>
        </is>
      </c>
      <c r="I146" s="20" t="inlineStr">
        <is>
          <t>2 runs</t>
        </is>
      </c>
      <c r="J146" s="19" t="inlineStr">
        <is>
          <t>Pass</t>
        </is>
      </c>
      <c r="K146" s="19" t="inlineStr">
        <is>
          <t>High</t>
        </is>
      </c>
      <c r="L146" s="19" t="n"/>
      <c r="M146" s="19" t="inlineStr">
        <is>
          <t>Auto</t>
        </is>
      </c>
      <c r="N146" s="19" t="inlineStr">
        <is>
          <t>2026-04-13</t>
        </is>
      </c>
      <c r="O146" s="20" t="n"/>
    </row>
  </sheetData>
  <autoFilter ref="A3:O146">
    <filterColumn colId="9" hiddenButton="0" showButton="1">
      <filters>
        <filter val="Blocked"/>
        <filter val="Fail"/>
        <filter val="Pending"/>
        <filter val="Skip (Auto)"/>
      </filters>
    </filterColumn>
    <sortState ref="A10:O144">
      <sortCondition ref="K3:K146"/>
    </sortState>
  </autoFilter>
  <mergeCells count="1">
    <mergeCell ref="A2:O2"/>
  </mergeCells>
  <dataValidations count="2">
    <dataValidation sqref="J4:J200" showDropDown="0" showInputMessage="0" showErrorMessage="0" allowBlank="1" type="list">
      <formula1>"Pass,Fail,Blocked,Pending,N/A"</formula1>
      <formula2>0</formula2>
    </dataValidation>
    <dataValidation sqref="K4:K200" showDropDown="0" showInputMessage="0" showErrorMessage="0" allowBlank="1" type="list">
      <formula1>"Critical,High,Medium,Low,N/A"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C0392B"/>
    <outlinePr summaryBelow="1" summaryRight="1"/>
    <pageSetUpPr/>
  </sheetPr>
  <dimension ref="A1:M18"/>
  <sheetViews>
    <sheetView showGridLines="0" zoomScaleNormal="100" workbookViewId="0">
      <pane ySplit="3" topLeftCell="A4" activePane="bottomLeft" state="frozen"/>
      <selection pane="bottomLeft" activeCell="A1" sqref="A1"/>
    </sheetView>
  </sheetViews>
  <sheetFormatPr baseColWidth="10" defaultColWidth="8.6640625" defaultRowHeight="15"/>
  <cols>
    <col width="14" customWidth="1" style="25" min="1" max="1"/>
    <col width="12" customWidth="1" style="25" min="2" max="2"/>
    <col width="34" customWidth="1" style="25" min="3" max="3"/>
    <col width="14" customWidth="1" style="25" min="4" max="5"/>
    <col width="16" customWidth="1" style="25" min="6" max="6"/>
    <col width="40" customWidth="1" style="25" min="7" max="7"/>
    <col width="30" customWidth="1" style="25" min="8" max="9"/>
    <col width="18" customWidth="1" style="25" min="10" max="11"/>
    <col width="16" customWidth="1" style="25" min="12" max="13"/>
  </cols>
  <sheetData>
    <row r="1" ht="6" customHeight="1" s="25">
      <c r="A1" s="1" t="n"/>
      <c r="B1" s="1" t="n"/>
      <c r="C1" s="1" t="n"/>
      <c r="D1" s="1" t="n"/>
      <c r="E1" s="1" t="n"/>
      <c r="F1" s="1" t="n"/>
      <c r="G1" s="1" t="n"/>
      <c r="H1" s="1" t="n"/>
      <c r="I1" s="1" t="n"/>
      <c r="J1" s="1" t="n"/>
      <c r="K1" s="1" t="n"/>
      <c r="L1" s="1" t="n"/>
      <c r="M1" s="1" t="n"/>
    </row>
    <row r="2" ht="31.5" customHeight="1" s="25">
      <c r="A2" s="24" t="inlineStr">
        <is>
          <t>DEFECT LOG</t>
        </is>
      </c>
    </row>
    <row r="3" ht="36" customHeight="1" s="25">
      <c r="A3" s="6" t="inlineStr">
        <is>
          <t>Defect ID</t>
        </is>
      </c>
      <c r="B3" s="6" t="inlineStr">
        <is>
          <t>TC ID</t>
        </is>
      </c>
      <c r="C3" s="6" t="inlineStr">
        <is>
          <t>Title</t>
        </is>
      </c>
      <c r="D3" s="6" t="inlineStr">
        <is>
          <t>Severity</t>
        </is>
      </c>
      <c r="E3" s="6" t="inlineStr">
        <is>
          <t>Priority</t>
        </is>
      </c>
      <c r="F3" s="6" t="inlineStr">
        <is>
          <t>Status</t>
        </is>
      </c>
      <c r="G3" s="6" t="inlineStr">
        <is>
          <t>Steps to Repro</t>
        </is>
      </c>
      <c r="H3" s="6" t="inlineStr">
        <is>
          <t>Expected</t>
        </is>
      </c>
      <c r="I3" s="6" t="inlineStr">
        <is>
          <t>Actual</t>
        </is>
      </c>
      <c r="J3" s="6" t="inlineStr">
        <is>
          <t>Assigned To</t>
        </is>
      </c>
      <c r="K3" s="6" t="inlineStr">
        <is>
          <t>Reported By</t>
        </is>
      </c>
      <c r="L3" s="6" t="inlineStr">
        <is>
          <t>Date Reported</t>
        </is>
      </c>
      <c r="M3" s="6" t="inlineStr">
        <is>
          <t>Date Resolved</t>
        </is>
      </c>
    </row>
    <row r="4" ht="49.5" customHeight="1" s="25">
      <c r="A4" s="8" t="n"/>
      <c r="B4" s="8" t="n"/>
      <c r="C4" s="8" t="n"/>
      <c r="D4" s="8" t="n"/>
      <c r="E4" s="8" t="n"/>
      <c r="F4" s="8" t="n"/>
      <c r="G4" s="8" t="n"/>
      <c r="H4" s="8" t="n"/>
      <c r="I4" s="8" t="n"/>
      <c r="J4" s="8" t="n"/>
      <c r="K4" s="8" t="n"/>
      <c r="L4" s="8" t="n"/>
      <c r="M4" s="8" t="n"/>
    </row>
    <row r="5" ht="49.5" customHeight="1" s="25">
      <c r="A5" s="7" t="n"/>
      <c r="B5" s="7" t="n"/>
      <c r="C5" s="7" t="n"/>
      <c r="D5" s="7" t="n"/>
      <c r="E5" s="7" t="n"/>
      <c r="F5" s="7" t="n"/>
      <c r="G5" s="7" t="n"/>
      <c r="H5" s="7" t="n"/>
      <c r="I5" s="7" t="n"/>
      <c r="J5" s="7" t="n"/>
      <c r="K5" s="7" t="n"/>
      <c r="L5" s="7" t="n"/>
      <c r="M5" s="7" t="n"/>
    </row>
    <row r="6" ht="49.5" customHeight="1" s="25">
      <c r="A6" s="8" t="n"/>
      <c r="B6" s="8" t="n"/>
      <c r="C6" s="8" t="n"/>
      <c r="D6" s="8" t="n"/>
      <c r="E6" s="8" t="n"/>
      <c r="F6" s="8" t="n"/>
      <c r="G6" s="8" t="n"/>
      <c r="H6" s="8" t="n"/>
      <c r="I6" s="8" t="n"/>
      <c r="J6" s="8" t="n"/>
      <c r="K6" s="8" t="n"/>
      <c r="L6" s="8" t="n"/>
      <c r="M6" s="8" t="n"/>
    </row>
    <row r="7" ht="49.5" customHeight="1" s="25">
      <c r="A7" s="7" t="n"/>
      <c r="B7" s="7" t="n"/>
      <c r="C7" s="7" t="n"/>
      <c r="D7" s="7" t="n"/>
      <c r="E7" s="7" t="n"/>
      <c r="F7" s="7" t="n"/>
      <c r="G7" s="7" t="n"/>
      <c r="H7" s="7" t="n"/>
      <c r="I7" s="7" t="n"/>
      <c r="J7" s="7" t="n"/>
      <c r="K7" s="7" t="n"/>
      <c r="L7" s="7" t="n"/>
      <c r="M7" s="7" t="n"/>
    </row>
    <row r="8" ht="49.5" customHeight="1" s="25">
      <c r="A8" s="8" t="n"/>
      <c r="B8" s="8" t="n"/>
      <c r="C8" s="8" t="n"/>
      <c r="D8" s="8" t="n"/>
      <c r="E8" s="8" t="n"/>
      <c r="F8" s="8" t="n"/>
      <c r="G8" s="8" t="n"/>
      <c r="H8" s="8" t="n"/>
      <c r="I8" s="8" t="n"/>
      <c r="J8" s="8" t="n"/>
      <c r="K8" s="8" t="n"/>
      <c r="L8" s="8" t="n"/>
      <c r="M8" s="8" t="n"/>
    </row>
    <row r="9" ht="49.5" customHeight="1" s="25">
      <c r="A9" s="7" t="n"/>
      <c r="B9" s="7" t="n"/>
      <c r="C9" s="7" t="n"/>
      <c r="D9" s="7" t="n"/>
      <c r="E9" s="7" t="n"/>
      <c r="F9" s="7" t="n"/>
      <c r="G9" s="7" t="n"/>
      <c r="H9" s="7" t="n"/>
      <c r="I9" s="7" t="n"/>
      <c r="J9" s="7" t="n"/>
      <c r="K9" s="7" t="n"/>
      <c r="L9" s="7" t="n"/>
      <c r="M9" s="7" t="n"/>
    </row>
    <row r="10" ht="49.5" customHeight="1" s="25">
      <c r="A10" s="8" t="n"/>
      <c r="B10" s="8" t="n"/>
      <c r="C10" s="8" t="n"/>
      <c r="D10" s="8" t="n"/>
      <c r="E10" s="8" t="n"/>
      <c r="F10" s="8" t="n"/>
      <c r="G10" s="8" t="n"/>
      <c r="H10" s="8" t="n"/>
      <c r="I10" s="8" t="n"/>
      <c r="J10" s="8" t="n"/>
      <c r="K10" s="8" t="n"/>
      <c r="L10" s="8" t="n"/>
      <c r="M10" s="8" t="n"/>
    </row>
    <row r="11" ht="49.5" customHeight="1" s="25">
      <c r="A11" s="7" t="n"/>
      <c r="B11" s="7" t="n"/>
      <c r="C11" s="7" t="n"/>
      <c r="D11" s="7" t="n"/>
      <c r="E11" s="7" t="n"/>
      <c r="F11" s="7" t="n"/>
      <c r="G11" s="7" t="n"/>
      <c r="H11" s="7" t="n"/>
      <c r="I11" s="7" t="n"/>
      <c r="J11" s="7" t="n"/>
      <c r="K11" s="7" t="n"/>
      <c r="L11" s="7" t="n"/>
      <c r="M11" s="7" t="n"/>
    </row>
    <row r="12" ht="49.5" customHeight="1" s="25">
      <c r="A12" s="8" t="n"/>
      <c r="B12" s="8" t="n"/>
      <c r="C12" s="8" t="n"/>
      <c r="D12" s="8" t="n"/>
      <c r="E12" s="8" t="n"/>
      <c r="F12" s="8" t="n"/>
      <c r="G12" s="8" t="n"/>
      <c r="H12" s="8" t="n"/>
      <c r="I12" s="8" t="n"/>
      <c r="J12" s="8" t="n"/>
      <c r="K12" s="8" t="n"/>
      <c r="L12" s="8" t="n"/>
      <c r="M12" s="8" t="n"/>
    </row>
    <row r="13" ht="49.5" customHeight="1" s="25">
      <c r="A13" s="7" t="n"/>
      <c r="B13" s="7" t="n"/>
      <c r="C13" s="7" t="n"/>
      <c r="D13" s="7" t="n"/>
      <c r="E13" s="7" t="n"/>
      <c r="F13" s="7" t="n"/>
      <c r="G13" s="7" t="n"/>
      <c r="H13" s="7" t="n"/>
      <c r="I13" s="7" t="n"/>
      <c r="J13" s="7" t="n"/>
      <c r="K13" s="7" t="n"/>
      <c r="L13" s="7" t="n"/>
      <c r="M13" s="7" t="n"/>
    </row>
    <row r="14" ht="49.5" customHeight="1" s="25">
      <c r="A14" s="8" t="n"/>
      <c r="B14" s="8" t="n"/>
      <c r="C14" s="8" t="n"/>
      <c r="D14" s="8" t="n"/>
      <c r="E14" s="8" t="n"/>
      <c r="F14" s="8" t="n"/>
      <c r="G14" s="8" t="n"/>
      <c r="H14" s="8" t="n"/>
      <c r="I14" s="8" t="n"/>
      <c r="J14" s="8" t="n"/>
      <c r="K14" s="8" t="n"/>
      <c r="L14" s="8" t="n"/>
      <c r="M14" s="8" t="n"/>
    </row>
    <row r="15" ht="49.5" customHeight="1" s="25">
      <c r="A15" s="7" t="n"/>
      <c r="B15" s="7" t="n"/>
      <c r="C15" s="7" t="n"/>
      <c r="D15" s="7" t="n"/>
      <c r="E15" s="7" t="n"/>
      <c r="F15" s="7" t="n"/>
      <c r="G15" s="7" t="n"/>
      <c r="H15" s="7" t="n"/>
      <c r="I15" s="7" t="n"/>
      <c r="J15" s="7" t="n"/>
      <c r="K15" s="7" t="n"/>
      <c r="L15" s="7" t="n"/>
      <c r="M15" s="7" t="n"/>
    </row>
    <row r="16" ht="49.5" customHeight="1" s="25">
      <c r="A16" s="8" t="n"/>
      <c r="B16" s="8" t="n"/>
      <c r="C16" s="8" t="n"/>
      <c r="D16" s="8" t="n"/>
      <c r="E16" s="8" t="n"/>
      <c r="F16" s="8" t="n"/>
      <c r="G16" s="8" t="n"/>
      <c r="H16" s="8" t="n"/>
      <c r="I16" s="8" t="n"/>
      <c r="J16" s="8" t="n"/>
      <c r="K16" s="8" t="n"/>
      <c r="L16" s="8" t="n"/>
      <c r="M16" s="8" t="n"/>
    </row>
    <row r="17" ht="49.5" customHeight="1" s="25">
      <c r="A17" s="7" t="n"/>
      <c r="B17" s="7" t="n"/>
      <c r="C17" s="7" t="n"/>
      <c r="D17" s="7" t="n"/>
      <c r="E17" s="7" t="n"/>
      <c r="F17" s="7" t="n"/>
      <c r="G17" s="7" t="n"/>
      <c r="H17" s="7" t="n"/>
      <c r="I17" s="7" t="n"/>
      <c r="J17" s="7" t="n"/>
      <c r="K17" s="7" t="n"/>
      <c r="L17" s="7" t="n"/>
      <c r="M17" s="7" t="n"/>
    </row>
    <row r="18" ht="49.5" customHeight="1" s="25">
      <c r="A18" s="8" t="n"/>
      <c r="B18" s="8" t="n"/>
      <c r="C18" s="8" t="n"/>
      <c r="D18" s="8" t="n"/>
      <c r="E18" s="8" t="n"/>
      <c r="F18" s="8" t="n"/>
      <c r="G18" s="8" t="n"/>
      <c r="H18" s="8" t="n"/>
      <c r="I18" s="8" t="n"/>
      <c r="J18" s="8" t="n"/>
      <c r="K18" s="8" t="n"/>
      <c r="L18" s="8" t="n"/>
      <c r="M18" s="8" t="n"/>
    </row>
  </sheetData>
  <mergeCells count="1">
    <mergeCell ref="A2:M2"/>
  </mergeCells>
  <dataValidations count="3">
    <dataValidation sqref="D4:D200" showDropDown="0" showInputMessage="0" showErrorMessage="0" allowBlank="1" type="list">
      <formula1>"Critical,High,Medium,Low"</formula1>
      <formula2>0</formula2>
    </dataValidation>
    <dataValidation sqref="E4:E200" showDropDown="0" showInputMessage="0" showErrorMessage="0" allowBlank="1" type="list">
      <formula1>"P1,P2,P3,P4"</formula1>
      <formula2>0</formula2>
    </dataValidation>
    <dataValidation sqref="F4:F200" showDropDown="0" showInputMessage="0" showErrorMessage="0" allowBlank="1" type="list">
      <formula1>"Open,In Progress,Resolved,Closed,Won't Fix"</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48A81"/>
    <outlinePr summaryBelow="1" summaryRight="1"/>
    <pageSetUpPr/>
  </sheetPr>
  <dimension ref="A1:H16"/>
  <sheetViews>
    <sheetView showGridLines="0" zoomScaleNormal="100" workbookViewId="0">
      <selection activeCell="A1" sqref="A1"/>
    </sheetView>
  </sheetViews>
  <sheetFormatPr baseColWidth="10" defaultColWidth="8.6640625" defaultRowHeight="15"/>
  <cols>
    <col width="22" customWidth="1" style="25" min="1" max="1"/>
    <col width="16" customWidth="1" style="25" min="2" max="3"/>
    <col width="20" customWidth="1" style="25" min="4" max="4"/>
    <col width="14" customWidth="1" style="25" min="5" max="8"/>
  </cols>
  <sheetData>
    <row r="1" ht="6" customHeight="1" s="25">
      <c r="A1" s="1" t="n"/>
      <c r="B1" s="1" t="n"/>
      <c r="C1" s="1" t="n"/>
      <c r="D1" s="1" t="n"/>
      <c r="E1" s="1" t="n"/>
      <c r="F1" s="1" t="n"/>
      <c r="G1" s="1" t="n"/>
      <c r="H1" s="1" t="n"/>
    </row>
    <row r="2" ht="31.5" customHeight="1" s="25">
      <c r="A2" s="24" t="inlineStr">
        <is>
          <t>UAT SUMMARY &amp; METRICS</t>
        </is>
      </c>
    </row>
    <row r="3" ht="9.75" customHeight="1" s="25"/>
    <row r="4" ht="25.5" customHeight="1" s="25">
      <c r="A4" s="27" t="inlineStr">
        <is>
          <t>TEST EXECUTION METRICS</t>
        </is>
      </c>
    </row>
    <row r="5" ht="25.5" customHeight="1" s="25">
      <c r="A5" s="34" t="inlineStr">
        <is>
          <t>Total Test Cases</t>
        </is>
      </c>
      <c r="B5" s="29" t="n"/>
      <c r="C5" s="29" t="n"/>
      <c r="D5" s="38">
        <f>COUNTA('Test Cases'!A4:A200)</f>
        <v/>
      </c>
      <c r="E5" s="29" t="n"/>
    </row>
    <row r="6" ht="25.5" customHeight="1" s="25">
      <c r="A6" s="34" t="inlineStr">
        <is>
          <t>Pass</t>
        </is>
      </c>
      <c r="B6" s="29" t="n"/>
      <c r="C6" s="29" t="n"/>
      <c r="D6" s="40">
        <f>COUNTIF('Test Cases'!J4:J200,"Pass")</f>
        <v/>
      </c>
      <c r="E6" s="29" t="n"/>
    </row>
    <row r="7" ht="25.5" customHeight="1" s="25">
      <c r="A7" s="34" t="inlineStr">
        <is>
          <t>Fail</t>
        </is>
      </c>
      <c r="B7" s="29" t="n"/>
      <c r="C7" s="29" t="n"/>
      <c r="D7" s="36">
        <f>COUNTIF('Test Cases'!J4:J200,"Fail")</f>
        <v/>
      </c>
      <c r="E7" s="29" t="n"/>
    </row>
    <row r="8" ht="25.5" customHeight="1" s="25">
      <c r="A8" s="34" t="inlineStr">
        <is>
          <t>Blocked</t>
        </is>
      </c>
      <c r="B8" s="29" t="n"/>
      <c r="C8" s="29" t="n"/>
      <c r="D8" s="37">
        <f>COUNTIF('Test Cases'!J4:J200,"Blocked")</f>
        <v/>
      </c>
      <c r="E8" s="29" t="n"/>
    </row>
    <row r="9" ht="25.5" customHeight="1" s="25">
      <c r="A9" s="34" t="inlineStr">
        <is>
          <t>Pending / Not Run</t>
        </is>
      </c>
      <c r="B9" s="29" t="n"/>
      <c r="C9" s="29" t="n"/>
      <c r="D9" s="35">
        <f>COUNTIF('Test Cases'!J4:J200,"Pending")</f>
        <v/>
      </c>
      <c r="E9" s="29" t="n"/>
    </row>
    <row r="10" ht="25.5" customHeight="1" s="25">
      <c r="A10" s="34" t="inlineStr">
        <is>
          <t>Pass Rate</t>
        </is>
      </c>
      <c r="B10" s="29" t="n"/>
      <c r="C10" s="29" t="n"/>
      <c r="D10" s="39">
        <f>IFERROR(B9/B4,0)</f>
        <v/>
      </c>
      <c r="E10" s="29" t="n"/>
    </row>
    <row r="11" ht="25.5" customHeight="1" s="25">
      <c r="A11" s="34" t="inlineStr">
        <is>
          <t>Open Defects</t>
        </is>
      </c>
      <c r="B11" s="29" t="n"/>
      <c r="C11" s="29" t="n"/>
      <c r="D11" s="36">
        <f>COUNTIF('Defect Log'!F4:F200,"Open")</f>
        <v/>
      </c>
      <c r="E11" s="29" t="n"/>
    </row>
    <row r="12" ht="25.5" customHeight="1" s="25">
      <c r="A12" s="34" t="inlineStr">
        <is>
          <t>Critical Defects</t>
        </is>
      </c>
      <c r="B12" s="29" t="n"/>
      <c r="C12" s="29" t="n"/>
      <c r="D12" s="36">
        <f>COUNTIF('Defect Log'!D4:D200,"Critical")</f>
        <v/>
      </c>
      <c r="E12" s="29" t="n"/>
    </row>
    <row r="14" ht="25.5" customHeight="1" s="25">
      <c r="A14" s="27" t="inlineStr">
        <is>
          <t>UAT DECISION</t>
        </is>
      </c>
    </row>
    <row r="15" ht="27.75" customHeight="1" s="25">
      <c r="A15" s="30" t="inlineStr">
        <is>
          <t>Overall UAT Decision</t>
        </is>
      </c>
      <c r="B15" s="29" t="n"/>
      <c r="C15" s="29" t="n"/>
      <c r="D15" s="32" t="n"/>
      <c r="E15" s="29" t="n"/>
      <c r="F15" s="29" t="n"/>
      <c r="G15" s="29" t="n"/>
      <c r="H15" s="29" t="n"/>
    </row>
    <row r="16" ht="60" customHeight="1" s="25">
      <c r="A16" s="30" t="inlineStr">
        <is>
          <t>Conditions / Notes</t>
        </is>
      </c>
      <c r="B16" s="29" t="n"/>
      <c r="C16" s="29" t="n"/>
      <c r="D16" s="32" t="n"/>
      <c r="E16" s="29" t="n"/>
      <c r="F16" s="29" t="n"/>
      <c r="G16" s="29" t="n"/>
      <c r="H16" s="29" t="n"/>
    </row>
  </sheetData>
  <mergeCells count="23">
    <mergeCell ref="D10:E10"/>
    <mergeCell ref="A12:C12"/>
    <mergeCell ref="D6:E6"/>
    <mergeCell ref="A5:C5"/>
    <mergeCell ref="D11:E11"/>
    <mergeCell ref="A8:C8"/>
    <mergeCell ref="A10:C10"/>
    <mergeCell ref="D7:E7"/>
    <mergeCell ref="D16:H16"/>
    <mergeCell ref="A2:H2"/>
    <mergeCell ref="A9:C9"/>
    <mergeCell ref="A14:H14"/>
    <mergeCell ref="A15:C15"/>
    <mergeCell ref="D9:E9"/>
    <mergeCell ref="D12:E12"/>
    <mergeCell ref="D8:E8"/>
    <mergeCell ref="A4:H4"/>
    <mergeCell ref="A11:C11"/>
    <mergeCell ref="D15:H15"/>
    <mergeCell ref="A6:C6"/>
    <mergeCell ref="D5:E5"/>
    <mergeCell ref="A7:C7"/>
    <mergeCell ref="A16:C16"/>
  </mergeCells>
  <dataValidations count="1">
    <dataValidation sqref="D14" showDropDown="0" showInputMessage="0" showErrorMessage="0" allowBlank="1" type="list">
      <formula1>"Approved,Approved with Conditions,Rejected,Deferred"</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7F8C8D"/>
    <outlinePr summaryBelow="1" summaryRight="1"/>
    <pageSetUpPr/>
  </sheetPr>
  <dimension ref="A1:E31"/>
  <sheetViews>
    <sheetView showGridLines="0" zoomScaleNormal="100" workbookViewId="0">
      <selection activeCell="A1" sqref="A1"/>
    </sheetView>
  </sheetViews>
  <sheetFormatPr baseColWidth="10" defaultColWidth="8.6640625" defaultRowHeight="15"/>
  <cols>
    <col width="28" customWidth="1" style="25" min="1" max="5"/>
  </cols>
  <sheetData>
    <row r="1" ht="6" customHeight="1" s="25">
      <c r="A1" s="1" t="n"/>
      <c r="B1" s="1" t="n"/>
      <c r="C1" s="1" t="n"/>
      <c r="D1" s="1" t="n"/>
      <c r="E1" s="1" t="n"/>
    </row>
    <row r="2" ht="31.5" customHeight="1" s="25">
      <c r="A2" s="24" t="inlineStr">
        <is>
          <t>HOW TO USE THIS TEMPLATE</t>
        </is>
      </c>
    </row>
    <row r="4" ht="9.75" customHeight="1" s="25"/>
    <row r="5" ht="25.5" customHeight="1" s="25">
      <c r="A5" s="43" t="inlineStr">
        <is>
          <t xml:space="preserve">  UAT Cover</t>
        </is>
      </c>
    </row>
    <row r="6" ht="21.75" customHeight="1" s="25">
      <c r="A6" s="44" t="inlineStr">
        <is>
          <t xml:space="preserve">  •  Fill in all project metadata fields before UAT begins.</t>
        </is>
      </c>
      <c r="B6" s="42" t="n"/>
      <c r="C6" s="42" t="n"/>
      <c r="D6" s="42" t="n"/>
      <c r="E6" s="42" t="n"/>
    </row>
    <row r="7" ht="21.75" customHeight="1" s="25">
      <c r="A7" s="41" t="inlineStr">
        <is>
          <t xml:space="preserve">  •  Define In Scope / Out of Scope clearly — vague scope = extended UAT.</t>
        </is>
      </c>
      <c r="B7" s="42" t="n"/>
      <c r="C7" s="42" t="n"/>
      <c r="D7" s="42" t="n"/>
      <c r="E7" s="42" t="n"/>
    </row>
    <row r="8" ht="21.75" customHeight="1" s="25">
      <c r="A8" s="44" t="inlineStr">
        <is>
          <t xml:space="preserve">  •  Entry Criteria must be met before any test execution starts.</t>
        </is>
      </c>
      <c r="B8" s="42" t="n"/>
      <c r="C8" s="42" t="n"/>
      <c r="D8" s="42" t="n"/>
      <c r="E8" s="42" t="n"/>
    </row>
    <row r="9" ht="21.75" customHeight="1" s="25">
      <c r="A9" s="41" t="inlineStr">
        <is>
          <t xml:space="preserve">  •  Exit Criteria drives the formal go/no-go decision.</t>
        </is>
      </c>
      <c r="B9" s="42" t="n"/>
      <c r="C9" s="42" t="n"/>
      <c r="D9" s="42" t="n"/>
      <c r="E9" s="42" t="n"/>
    </row>
    <row r="10" ht="21.75" customHeight="1" s="25">
      <c r="A10" s="44" t="inlineStr">
        <is>
          <t xml:space="preserve">  •  All sign-off roles must be completed for formal acceptance.</t>
        </is>
      </c>
      <c r="B10" s="42" t="n"/>
      <c r="C10" s="42" t="n"/>
      <c r="D10" s="42" t="n"/>
      <c r="E10" s="42" t="n"/>
    </row>
    <row r="11" ht="9.75" customHeight="1" s="25"/>
    <row r="12" ht="25.5" customHeight="1" s="25">
      <c r="A12" s="43" t="inlineStr">
        <is>
          <t xml:space="preserve">  Test Cases</t>
        </is>
      </c>
    </row>
    <row r="13" ht="21.75" customHeight="1" s="25">
      <c r="A13" s="41" t="inlineStr">
        <is>
          <t xml:space="preserve">  •  Each TC ID should be unique (TC-001, TC-002, …).</t>
        </is>
      </c>
      <c r="B13" s="42" t="n"/>
      <c r="C13" s="42" t="n"/>
      <c r="D13" s="42" t="n"/>
      <c r="E13" s="42" t="n"/>
    </row>
    <row r="14" ht="21.75" customHeight="1" s="25">
      <c r="A14" s="44" t="inlineStr">
        <is>
          <t xml:space="preserve">  •  Req / Story ID creates traceability to your requirements backlog — don't skip this.</t>
        </is>
      </c>
      <c r="B14" s="42" t="n"/>
      <c r="C14" s="42" t="n"/>
      <c r="D14" s="42" t="n"/>
      <c r="E14" s="42" t="n"/>
    </row>
    <row r="15" ht="21.75" customHeight="1" s="25">
      <c r="A15" s="41" t="inlineStr">
        <is>
          <t xml:space="preserve">  •  Expected Result must be observable and unambiguous. 'System works' is not a valid expected result.</t>
        </is>
      </c>
      <c r="B15" s="42" t="n"/>
      <c r="C15" s="42" t="n"/>
      <c r="D15" s="42" t="n"/>
      <c r="E15" s="42" t="n"/>
    </row>
    <row r="16" ht="21.75" customHeight="1" s="25">
      <c r="A16" s="44" t="inlineStr">
        <is>
          <t xml:space="preserve">  •  Status dropdown: Pass / Fail / Blocked / Pending / N/A.</t>
        </is>
      </c>
      <c r="B16" s="42" t="n"/>
      <c r="C16" s="42" t="n"/>
      <c r="D16" s="42" t="n"/>
      <c r="E16" s="42" t="n"/>
    </row>
    <row r="17" ht="21.75" customHeight="1" s="25">
      <c r="A17" s="41" t="inlineStr">
        <is>
          <t xml:space="preserve">  •  If status is Fail or Blocked, create a corresponding entry in the Defect Log.</t>
        </is>
      </c>
      <c r="B17" s="42" t="n"/>
      <c r="C17" s="42" t="n"/>
      <c r="D17" s="42" t="n"/>
      <c r="E17" s="42" t="n"/>
    </row>
    <row r="18" ht="21.75" customHeight="1" s="25">
      <c r="A18" s="44" t="inlineStr">
        <is>
          <t xml:space="preserve">  •  Test Steps should be specific enough that any tester can reproduce without tribal knowledge.</t>
        </is>
      </c>
      <c r="B18" s="42" t="n"/>
      <c r="C18" s="42" t="n"/>
      <c r="D18" s="42" t="n"/>
      <c r="E18" s="42" t="n"/>
    </row>
    <row r="19" ht="9.75" customHeight="1" s="25"/>
    <row r="20" ht="25.5" customHeight="1" s="25">
      <c r="A20" s="43" t="inlineStr">
        <is>
          <t xml:space="preserve">  Defect Log</t>
        </is>
      </c>
    </row>
    <row r="21" ht="21.75" customHeight="1" s="25">
      <c r="A21" s="41" t="inlineStr">
        <is>
          <t xml:space="preserve">  •  Log every failed or blocked test case here.</t>
        </is>
      </c>
      <c r="B21" s="42" t="n"/>
      <c r="C21" s="42" t="n"/>
      <c r="D21" s="42" t="n"/>
      <c r="E21" s="42" t="n"/>
    </row>
    <row r="22" ht="21.75" customHeight="1" s="25">
      <c r="A22" s="44" t="inlineStr">
        <is>
          <t xml:space="preserve">  •  Severity = technical impact (Critical = system down / data loss).</t>
        </is>
      </c>
      <c r="B22" s="42" t="n"/>
      <c r="C22" s="42" t="n"/>
      <c r="D22" s="42" t="n"/>
      <c r="E22" s="42" t="n"/>
    </row>
    <row r="23" ht="21.75" customHeight="1" s="25">
      <c r="A23" s="41" t="inlineStr">
        <is>
          <t xml:space="preserve">  •  Priority = business urgency (P1 = must fix before go-live).</t>
        </is>
      </c>
      <c r="B23" s="42" t="n"/>
      <c r="C23" s="42" t="n"/>
      <c r="D23" s="42" t="n"/>
      <c r="E23" s="42" t="n"/>
    </row>
    <row r="24" ht="21.75" customHeight="1" s="25">
      <c r="A24" s="44" t="inlineStr">
        <is>
          <t xml:space="preserve">  •  Severity and Priority are intentionally separate — a cosmetic P3 bug can still be Critical if it breaks a workflow.</t>
        </is>
      </c>
      <c r="B24" s="42" t="n"/>
      <c r="C24" s="42" t="n"/>
      <c r="D24" s="42" t="n"/>
      <c r="E24" s="42" t="n"/>
    </row>
    <row r="25" ht="21.75" customHeight="1" s="25">
      <c r="A25" s="41" t="inlineStr">
        <is>
          <t xml:space="preserve">  •  Date Resolved should only be filled when QA has re-tested and confirmed the fix.</t>
        </is>
      </c>
      <c r="B25" s="42" t="n"/>
      <c r="C25" s="42" t="n"/>
      <c r="D25" s="42" t="n"/>
      <c r="E25" s="42" t="n"/>
    </row>
    <row r="26" ht="9.75" customHeight="1" s="25"/>
    <row r="27" ht="25.5" customHeight="1" s="25">
      <c r="A27" s="43" t="inlineStr">
        <is>
          <t xml:space="preserve">  Summary</t>
        </is>
      </c>
    </row>
    <row r="28" ht="21.75" customHeight="1" s="25">
      <c r="A28" s="44" t="inlineStr">
        <is>
          <t xml:space="preserve">  •  Metrics auto-calculate from Test Cases and Defect Log sheets — do not hardcode values here.</t>
        </is>
      </c>
      <c r="B28" s="42" t="n"/>
      <c r="C28" s="42" t="n"/>
      <c r="D28" s="42" t="n"/>
      <c r="E28" s="42" t="n"/>
    </row>
    <row r="29" ht="21.75" customHeight="1" s="25">
      <c r="A29" s="41" t="inlineStr">
        <is>
          <t xml:space="preserve">  •  Pass Rate formula: Pass ÷ Total TCs.</t>
        </is>
      </c>
      <c r="B29" s="42" t="n"/>
      <c r="C29" s="42" t="n"/>
      <c r="D29" s="42" t="n"/>
      <c r="E29" s="42" t="n"/>
    </row>
    <row r="30" ht="21.75" customHeight="1" s="25">
      <c r="A30" s="44" t="inlineStr">
        <is>
          <t xml:space="preserve">  •  UAT Decision dropdown: Approved / Approved with Conditions / Rejected / Deferred.</t>
        </is>
      </c>
      <c r="B30" s="42" t="n"/>
      <c r="C30" s="42" t="n"/>
      <c r="D30" s="42" t="n"/>
      <c r="E30" s="42" t="n"/>
    </row>
    <row r="31" ht="21.75" customHeight="1" s="25">
      <c r="A31" s="41" t="inlineStr">
        <is>
          <t xml:space="preserve">  •  Approved with Conditions requires a note explaining the conditions and acceptance timeline.</t>
        </is>
      </c>
      <c r="B31" s="42" t="n"/>
      <c r="C31" s="42" t="n"/>
      <c r="D31" s="42" t="n"/>
      <c r="E31" s="42" t="n"/>
    </row>
  </sheetData>
  <mergeCells count="25">
    <mergeCell ref="A30:E30"/>
    <mergeCell ref="A24:E24"/>
    <mergeCell ref="A15:E15"/>
    <mergeCell ref="A6:E6"/>
    <mergeCell ref="A16:E16"/>
    <mergeCell ref="A7:E7"/>
    <mergeCell ref="A25:E25"/>
    <mergeCell ref="A18:E18"/>
    <mergeCell ref="A27:E27"/>
    <mergeCell ref="A21:E21"/>
    <mergeCell ref="A12:E12"/>
    <mergeCell ref="A2:E2"/>
    <mergeCell ref="A5:E5"/>
    <mergeCell ref="A23:E23"/>
    <mergeCell ref="A8:E8"/>
    <mergeCell ref="A14:E14"/>
    <mergeCell ref="A22:E22"/>
    <mergeCell ref="A17:E17"/>
    <mergeCell ref="A29:E29"/>
    <mergeCell ref="A20:E20"/>
    <mergeCell ref="A10:E10"/>
    <mergeCell ref="A28:E28"/>
    <mergeCell ref="A13:E13"/>
    <mergeCell ref="A31:E31"/>
    <mergeCell ref="A9:E9"/>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2026-04-11T00:37:24Z</dcterms:created>
  <dcterms:modified xsi:type="dcterms:W3CDTF">2026-04-16T02:42:09Z</dcterms:modified>
  <cp:lastModifiedBy>Rob Di Girolamo</cp:lastModifiedBy>
  <cp:revision>0</cp:revision>
</cp:coreProperties>
</file>